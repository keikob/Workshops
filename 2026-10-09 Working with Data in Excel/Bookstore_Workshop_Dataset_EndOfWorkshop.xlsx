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outlookuga-my.sharepoint.com/personal/ksb89187_uga_edu/Documents/Documents/OSDS/Workshops and Talks/2026-10-09 Working with Data in Excel/"/>
    </mc:Choice>
  </mc:AlternateContent>
  <xr:revisionPtr revIDLastSave="262" documentId="11_07128DC31768C82FEB06F4F7415DCE3A6747C4EB" xr6:coauthVersionLast="47" xr6:coauthVersionMax="47" xr10:uidLastSave="{563890C5-EBB5-4DB2-9222-18FA56191C99}"/>
  <bookViews>
    <workbookView xWindow="28680" yWindow="-120" windowWidth="29040" windowHeight="15720" activeTab="1" xr2:uid="{00000000-000D-0000-FFFF-FFFF00000000}"/>
  </bookViews>
  <sheets>
    <sheet name="PivotTable" sheetId="2" r:id="rId1"/>
    <sheet name="BookstoreOrders" sheetId="1" r:id="rId2"/>
  </sheets>
  <definedNames>
    <definedName name="_xlnm._FilterDatabase" localSheetId="1" hidden="1">BookstoreOrders!$A$1:$W$206</definedName>
  </definedNames>
  <calcPr calcId="191029"/>
  <pivotCaches>
    <pivotCache cacheId="38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 a="1"/>
  <c r="M3" i="1" a="1"/>
  <c r="M4" i="1" a="1"/>
  <c r="M5" i="1" a="1"/>
  <c r="M6" i="1" a="1"/>
  <c r="M7" i="1" a="1"/>
  <c r="M8" i="1" a="1"/>
  <c r="M9" i="1" a="1"/>
  <c r="M10" i="1" a="1"/>
  <c r="M11" i="1" a="1"/>
  <c r="M12" i="1" a="1"/>
  <c r="M13" i="1" a="1"/>
  <c r="M14" i="1" a="1"/>
  <c r="M15" i="1" a="1"/>
  <c r="M16" i="1" a="1"/>
  <c r="M17" i="1" a="1"/>
  <c r="M18" i="1" a="1"/>
  <c r="M19" i="1" a="1"/>
  <c r="M20" i="1" a="1"/>
  <c r="M21" i="1" a="1"/>
  <c r="M22" i="1" a="1"/>
  <c r="M23" i="1" a="1"/>
  <c r="M24" i="1" a="1"/>
  <c r="M25" i="1" a="1"/>
  <c r="M26" i="1" a="1"/>
  <c r="M27" i="1" a="1"/>
  <c r="M28" i="1" a="1"/>
  <c r="M29" i="1" a="1"/>
  <c r="M30" i="1" a="1"/>
  <c r="M31" i="1" a="1"/>
  <c r="M32" i="1" a="1"/>
  <c r="M33" i="1" a="1"/>
  <c r="M34" i="1" a="1"/>
  <c r="M35" i="1" a="1"/>
  <c r="M36" i="1" a="1"/>
  <c r="M37" i="1" a="1"/>
  <c r="M38" i="1" a="1"/>
  <c r="M39" i="1" a="1"/>
  <c r="M40" i="1" a="1"/>
  <c r="M41" i="1" a="1"/>
  <c r="M42" i="1" a="1"/>
  <c r="M43" i="1" a="1"/>
  <c r="M44" i="1" a="1"/>
  <c r="M45" i="1" a="1"/>
  <c r="M46" i="1" a="1"/>
  <c r="M47" i="1" a="1"/>
  <c r="M48" i="1" a="1"/>
  <c r="M49" i="1" a="1"/>
  <c r="M50" i="1" a="1"/>
  <c r="M51" i="1" a="1"/>
  <c r="M52" i="1" a="1"/>
  <c r="M53" i="1" a="1"/>
  <c r="M54" i="1" a="1"/>
  <c r="M55" i="1" a="1"/>
  <c r="M56" i="1" a="1"/>
  <c r="M57" i="1" a="1"/>
  <c r="M58" i="1" a="1"/>
  <c r="M59" i="1" a="1"/>
  <c r="M60" i="1" a="1"/>
  <c r="M61" i="1" a="1"/>
  <c r="M62" i="1" a="1"/>
  <c r="M63" i="1" a="1"/>
  <c r="M64" i="1" a="1"/>
  <c r="M65" i="1" a="1"/>
  <c r="M66" i="1" a="1"/>
  <c r="M67" i="1" a="1"/>
  <c r="M68" i="1" a="1"/>
  <c r="M69" i="1" a="1"/>
  <c r="M70" i="1" a="1"/>
  <c r="M71" i="1" a="1"/>
  <c r="M72" i="1" a="1"/>
  <c r="M73" i="1" a="1"/>
  <c r="M74" i="1" a="1"/>
  <c r="M75" i="1" a="1"/>
  <c r="M76" i="1" a="1"/>
  <c r="M77" i="1" a="1"/>
  <c r="M78" i="1" a="1"/>
  <c r="M79" i="1" a="1"/>
  <c r="M80" i="1" a="1"/>
  <c r="M81" i="1" a="1"/>
  <c r="M82" i="1" a="1"/>
  <c r="M83" i="1" a="1"/>
  <c r="M84" i="1" a="1"/>
  <c r="M85" i="1" a="1"/>
  <c r="M86" i="1" a="1"/>
  <c r="M87" i="1" a="1"/>
  <c r="M88" i="1" a="1"/>
  <c r="M89" i="1" a="1"/>
  <c r="M90" i="1" a="1"/>
  <c r="M91" i="1" a="1"/>
  <c r="M92" i="1" a="1"/>
  <c r="M93" i="1" a="1"/>
  <c r="M94" i="1" a="1"/>
  <c r="M95" i="1" a="1"/>
  <c r="M96" i="1" a="1"/>
  <c r="M97" i="1" a="1"/>
  <c r="M98" i="1" a="1"/>
  <c r="M99" i="1" a="1"/>
  <c r="M100" i="1" a="1"/>
  <c r="M101" i="1" a="1"/>
  <c r="M102" i="1" a="1"/>
  <c r="M103" i="1" a="1"/>
  <c r="M104" i="1" a="1"/>
  <c r="M105" i="1" a="1"/>
  <c r="M106" i="1" a="1"/>
  <c r="M107" i="1" a="1"/>
  <c r="M108" i="1" a="1"/>
  <c r="M109" i="1" a="1"/>
  <c r="M110" i="1" a="1"/>
  <c r="M111" i="1" a="1"/>
  <c r="M112" i="1" a="1"/>
  <c r="M113" i="1" a="1"/>
  <c r="M114" i="1" a="1"/>
  <c r="M115" i="1" a="1"/>
  <c r="M116" i="1" a="1"/>
  <c r="M117" i="1" a="1"/>
  <c r="M118" i="1" a="1"/>
  <c r="M119" i="1" a="1"/>
  <c r="M120" i="1" a="1"/>
  <c r="M121" i="1" a="1"/>
  <c r="M122" i="1" a="1"/>
  <c r="M123" i="1" a="1"/>
  <c r="M124" i="1" a="1"/>
  <c r="M125" i="1" a="1"/>
  <c r="M126" i="1" a="1"/>
  <c r="M127" i="1" a="1"/>
  <c r="M128" i="1" a="1"/>
  <c r="M129" i="1" a="1"/>
  <c r="M130" i="1" a="1"/>
  <c r="M131" i="1" a="1"/>
  <c r="M132" i="1" a="1"/>
  <c r="M133" i="1" a="1"/>
  <c r="M134" i="1" a="1"/>
  <c r="M135" i="1" a="1"/>
  <c r="M136" i="1" a="1"/>
  <c r="M137" i="1" a="1"/>
  <c r="M138" i="1" a="1"/>
  <c r="M139" i="1" a="1"/>
  <c r="M140" i="1" a="1"/>
  <c r="M141" i="1" a="1"/>
  <c r="M142" i="1" a="1"/>
  <c r="M143" i="1" a="1"/>
  <c r="M144" i="1" a="1"/>
  <c r="M145" i="1" a="1"/>
  <c r="M146" i="1" a="1"/>
  <c r="M147" i="1" a="1"/>
  <c r="M148" i="1" a="1"/>
  <c r="M149" i="1" a="1"/>
  <c r="M150" i="1" a="1"/>
  <c r="M151" i="1" a="1"/>
  <c r="M152" i="1" a="1"/>
  <c r="M153" i="1" a="1"/>
  <c r="M154" i="1" a="1"/>
  <c r="M155" i="1" a="1"/>
  <c r="M156" i="1" a="1"/>
  <c r="M157" i="1" a="1"/>
  <c r="M158" i="1" a="1"/>
  <c r="M159" i="1" a="1"/>
  <c r="M160" i="1" a="1"/>
  <c r="M161" i="1" a="1"/>
  <c r="M162" i="1" a="1"/>
  <c r="M163" i="1" a="1"/>
  <c r="M164" i="1" a="1"/>
  <c r="M165" i="1" a="1"/>
  <c r="M166" i="1" a="1"/>
  <c r="M167" i="1" a="1"/>
  <c r="M168" i="1" a="1"/>
  <c r="M169" i="1" a="1"/>
  <c r="M170" i="1" a="1"/>
  <c r="M171" i="1" a="1"/>
  <c r="M172" i="1" a="1"/>
  <c r="M173" i="1" a="1"/>
  <c r="M174" i="1" a="1"/>
  <c r="M175" i="1" a="1"/>
  <c r="M176" i="1" a="1"/>
  <c r="M177" i="1" a="1"/>
  <c r="M178" i="1" a="1"/>
  <c r="M179" i="1" a="1"/>
  <c r="M180" i="1" a="1"/>
  <c r="M181" i="1" a="1"/>
  <c r="M182" i="1" a="1"/>
  <c r="M183" i="1" a="1"/>
  <c r="M184" i="1" a="1"/>
  <c r="M185" i="1" a="1"/>
  <c r="M186" i="1" a="1"/>
  <c r="M187" i="1" a="1"/>
  <c r="M188" i="1" a="1"/>
  <c r="M189" i="1" a="1"/>
  <c r="M190" i="1" a="1"/>
  <c r="M191" i="1" a="1"/>
  <c r="M192" i="1" a="1"/>
  <c r="M193" i="1" a="1"/>
  <c r="M194" i="1" a="1"/>
  <c r="M195" i="1" a="1"/>
  <c r="M196" i="1" a="1"/>
  <c r="M197" i="1" a="1"/>
  <c r="M198" i="1" a="1"/>
  <c r="M199" i="1" a="1"/>
  <c r="M200" i="1" a="1"/>
  <c r="M201" i="1" a="1"/>
  <c r="L2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R2" i="1"/>
  <c r="R3" i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90" i="1"/>
  <c r="R91" i="1"/>
  <c r="R92" i="1"/>
  <c r="R93" i="1"/>
  <c r="R94" i="1"/>
  <c r="R95" i="1"/>
  <c r="R96" i="1"/>
  <c r="R97" i="1"/>
  <c r="R98" i="1"/>
  <c r="R99" i="1"/>
  <c r="R100" i="1"/>
  <c r="R101" i="1"/>
  <c r="R102" i="1"/>
  <c r="R103" i="1"/>
  <c r="R104" i="1"/>
  <c r="R105" i="1"/>
  <c r="R106" i="1"/>
  <c r="R107" i="1"/>
  <c r="R108" i="1"/>
  <c r="R109" i="1"/>
  <c r="R110" i="1"/>
  <c r="R111" i="1"/>
  <c r="R112" i="1"/>
  <c r="R113" i="1"/>
  <c r="R114" i="1"/>
  <c r="R115" i="1"/>
  <c r="R116" i="1"/>
  <c r="R117" i="1"/>
  <c r="R118" i="1"/>
  <c r="R119" i="1"/>
  <c r="R120" i="1"/>
  <c r="R121" i="1"/>
  <c r="R122" i="1"/>
  <c r="R123" i="1"/>
  <c r="R124" i="1"/>
  <c r="R125" i="1"/>
  <c r="R126" i="1"/>
  <c r="R127" i="1"/>
  <c r="R128" i="1"/>
  <c r="R129" i="1"/>
  <c r="R130" i="1"/>
  <c r="R131" i="1"/>
  <c r="R132" i="1"/>
  <c r="R133" i="1"/>
  <c r="R134" i="1"/>
  <c r="R135" i="1"/>
  <c r="R136" i="1"/>
  <c r="R137" i="1"/>
  <c r="R138" i="1"/>
  <c r="R139" i="1"/>
  <c r="R140" i="1"/>
  <c r="R141" i="1"/>
  <c r="R142" i="1"/>
  <c r="R143" i="1"/>
  <c r="R144" i="1"/>
  <c r="R145" i="1"/>
  <c r="R146" i="1"/>
  <c r="R147" i="1"/>
  <c r="R148" i="1"/>
  <c r="R149" i="1"/>
  <c r="R150" i="1"/>
  <c r="R151" i="1"/>
  <c r="R152" i="1"/>
  <c r="R153" i="1"/>
  <c r="R154" i="1"/>
  <c r="R155" i="1"/>
  <c r="R156" i="1"/>
  <c r="R157" i="1"/>
  <c r="R158" i="1"/>
  <c r="R159" i="1"/>
  <c r="R160" i="1"/>
  <c r="R161" i="1"/>
  <c r="R162" i="1"/>
  <c r="R163" i="1"/>
  <c r="R164" i="1"/>
  <c r="R165" i="1"/>
  <c r="R166" i="1"/>
  <c r="R167" i="1"/>
  <c r="R168" i="1"/>
  <c r="R169" i="1"/>
  <c r="R170" i="1"/>
  <c r="R171" i="1"/>
  <c r="R172" i="1"/>
  <c r="R173" i="1"/>
  <c r="R174" i="1"/>
  <c r="R175" i="1"/>
  <c r="R176" i="1"/>
  <c r="R177" i="1"/>
  <c r="R178" i="1"/>
  <c r="R179" i="1"/>
  <c r="R180" i="1"/>
  <c r="R181" i="1"/>
  <c r="R182" i="1"/>
  <c r="R183" i="1"/>
  <c r="R184" i="1"/>
  <c r="R185" i="1"/>
  <c r="R186" i="1"/>
  <c r="R187" i="1"/>
  <c r="R188" i="1"/>
  <c r="R189" i="1"/>
  <c r="R190" i="1"/>
  <c r="R191" i="1"/>
  <c r="R192" i="1"/>
  <c r="R193" i="1"/>
  <c r="R194" i="1"/>
  <c r="R195" i="1"/>
  <c r="R196" i="1"/>
  <c r="R197" i="1"/>
  <c r="R198" i="1"/>
  <c r="R199" i="1"/>
  <c r="R200" i="1"/>
  <c r="R201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103" i="1"/>
  <c r="I104" i="1"/>
  <c r="I105" i="1"/>
  <c r="I106" i="1"/>
  <c r="I107" i="1"/>
  <c r="I108" i="1"/>
  <c r="I109" i="1"/>
  <c r="I110" i="1"/>
  <c r="I111" i="1"/>
  <c r="I112" i="1"/>
  <c r="I113" i="1"/>
  <c r="I114" i="1"/>
  <c r="I115" i="1"/>
  <c r="I116" i="1"/>
  <c r="I117" i="1"/>
  <c r="I118" i="1"/>
  <c r="I119" i="1"/>
  <c r="I120" i="1"/>
  <c r="I121" i="1"/>
  <c r="I122" i="1"/>
  <c r="I123" i="1"/>
  <c r="I124" i="1"/>
  <c r="I125" i="1"/>
  <c r="I126" i="1"/>
  <c r="I127" i="1"/>
  <c r="I128" i="1"/>
  <c r="I129" i="1"/>
  <c r="I130" i="1"/>
  <c r="I131" i="1"/>
  <c r="I132" i="1"/>
  <c r="I133" i="1"/>
  <c r="I134" i="1"/>
  <c r="I135" i="1"/>
  <c r="I136" i="1"/>
  <c r="I137" i="1"/>
  <c r="I138" i="1"/>
  <c r="I139" i="1"/>
  <c r="I140" i="1"/>
  <c r="I141" i="1"/>
  <c r="I142" i="1"/>
  <c r="I143" i="1"/>
  <c r="I144" i="1"/>
  <c r="I145" i="1"/>
  <c r="I146" i="1"/>
  <c r="I147" i="1"/>
  <c r="I148" i="1"/>
  <c r="I149" i="1"/>
  <c r="I150" i="1"/>
  <c r="I151" i="1"/>
  <c r="I152" i="1"/>
  <c r="I153" i="1"/>
  <c r="I154" i="1"/>
  <c r="I155" i="1"/>
  <c r="I156" i="1"/>
  <c r="I157" i="1"/>
  <c r="I158" i="1"/>
  <c r="I159" i="1"/>
  <c r="I160" i="1"/>
  <c r="I161" i="1"/>
  <c r="I162" i="1"/>
  <c r="I163" i="1"/>
  <c r="I164" i="1"/>
  <c r="I165" i="1"/>
  <c r="I166" i="1"/>
  <c r="I167" i="1"/>
  <c r="I168" i="1"/>
  <c r="I169" i="1"/>
  <c r="I170" i="1"/>
  <c r="I171" i="1"/>
  <c r="I172" i="1"/>
  <c r="I173" i="1"/>
  <c r="I174" i="1"/>
  <c r="I175" i="1"/>
  <c r="I176" i="1"/>
  <c r="I177" i="1"/>
  <c r="I178" i="1"/>
  <c r="I179" i="1"/>
  <c r="I180" i="1"/>
  <c r="I181" i="1"/>
  <c r="I182" i="1"/>
  <c r="I183" i="1"/>
  <c r="I184" i="1"/>
  <c r="I185" i="1"/>
  <c r="I186" i="1"/>
  <c r="I187" i="1"/>
  <c r="I188" i="1"/>
  <c r="I189" i="1"/>
  <c r="I190" i="1"/>
  <c r="I191" i="1"/>
  <c r="I192" i="1"/>
  <c r="I193" i="1"/>
  <c r="I194" i="1"/>
  <c r="I195" i="1"/>
  <c r="I196" i="1"/>
  <c r="I197" i="1"/>
  <c r="I198" i="1"/>
  <c r="I199" i="1"/>
  <c r="I200" i="1"/>
  <c r="I201" i="1"/>
  <c r="I2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" i="1"/>
  <c r="C3" i="1"/>
  <c r="E3" i="1" s="1"/>
  <c r="C4" i="1"/>
  <c r="E4" i="1" s="1"/>
  <c r="C5" i="1"/>
  <c r="C6" i="1"/>
  <c r="E6" i="1" s="1"/>
  <c r="C7" i="1"/>
  <c r="E7" i="1" s="1"/>
  <c r="C8" i="1"/>
  <c r="E8" i="1" s="1"/>
  <c r="C9" i="1"/>
  <c r="E9" i="1" s="1"/>
  <c r="C10" i="1"/>
  <c r="E10" i="1" s="1"/>
  <c r="C11" i="1"/>
  <c r="C12" i="1"/>
  <c r="C13" i="1"/>
  <c r="E13" i="1" s="1"/>
  <c r="C14" i="1"/>
  <c r="E14" i="1" s="1"/>
  <c r="C15" i="1"/>
  <c r="E15" i="1" s="1"/>
  <c r="C16" i="1"/>
  <c r="E16" i="1" s="1"/>
  <c r="C17" i="1"/>
  <c r="C18" i="1"/>
  <c r="C19" i="1"/>
  <c r="C20" i="1"/>
  <c r="C21" i="1"/>
  <c r="C22" i="1"/>
  <c r="C23" i="1"/>
  <c r="C24" i="1"/>
  <c r="C25" i="1"/>
  <c r="C26" i="1"/>
  <c r="C27" i="1"/>
  <c r="E27" i="1" s="1"/>
  <c r="C28" i="1"/>
  <c r="C29" i="1"/>
  <c r="E29" i="1" s="1"/>
  <c r="C30" i="1"/>
  <c r="C31" i="1"/>
  <c r="E31" i="1" s="1"/>
  <c r="C32" i="1"/>
  <c r="E32" i="1" s="1"/>
  <c r="C33" i="1"/>
  <c r="E33" i="1" s="1"/>
  <c r="C34" i="1"/>
  <c r="E34" i="1" s="1"/>
  <c r="C35" i="1"/>
  <c r="E35" i="1" s="1"/>
  <c r="C36" i="1"/>
  <c r="E36" i="1" s="1"/>
  <c r="C37" i="1"/>
  <c r="E37" i="1" s="1"/>
  <c r="C38" i="1"/>
  <c r="E38" i="1" s="1"/>
  <c r="C39" i="1"/>
  <c r="E39" i="1" s="1"/>
  <c r="C40" i="1"/>
  <c r="E40" i="1" s="1"/>
  <c r="C41" i="1"/>
  <c r="C42" i="1"/>
  <c r="E42" i="1" s="1"/>
  <c r="C43" i="1"/>
  <c r="E43" i="1" s="1"/>
  <c r="C44" i="1"/>
  <c r="E44" i="1" s="1"/>
  <c r="C45" i="1"/>
  <c r="E45" i="1" s="1"/>
  <c r="C46" i="1"/>
  <c r="E46" i="1" s="1"/>
  <c r="C47" i="1"/>
  <c r="E47" i="1" s="1"/>
  <c r="C48" i="1"/>
  <c r="E48" i="1" s="1"/>
  <c r="C49" i="1"/>
  <c r="E49" i="1" s="1"/>
  <c r="C50" i="1"/>
  <c r="E50" i="1" s="1"/>
  <c r="C51" i="1"/>
  <c r="E51" i="1" s="1"/>
  <c r="C52" i="1"/>
  <c r="E52" i="1" s="1"/>
  <c r="C53" i="1"/>
  <c r="E53" i="1" s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E72" i="1" s="1"/>
  <c r="C73" i="1"/>
  <c r="E73" i="1" s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E106" i="1" s="1"/>
  <c r="C107" i="1"/>
  <c r="E107" i="1" s="1"/>
  <c r="C108" i="1"/>
  <c r="E108" i="1" s="1"/>
  <c r="C109" i="1"/>
  <c r="E109" i="1" s="1"/>
  <c r="C110" i="1"/>
  <c r="E110" i="1" s="1"/>
  <c r="C111" i="1"/>
  <c r="E111" i="1" s="1"/>
  <c r="C112" i="1"/>
  <c r="E112" i="1" s="1"/>
  <c r="C113" i="1"/>
  <c r="E113" i="1" s="1"/>
  <c r="C114" i="1"/>
  <c r="E114" i="1" s="1"/>
  <c r="C115" i="1"/>
  <c r="E115" i="1" s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E130" i="1" s="1"/>
  <c r="C131" i="1"/>
  <c r="E131" i="1" s="1"/>
  <c r="C132" i="1"/>
  <c r="E132" i="1" s="1"/>
  <c r="C133" i="1"/>
  <c r="E133" i="1" s="1"/>
  <c r="C134" i="1"/>
  <c r="E134" i="1" s="1"/>
  <c r="C135" i="1"/>
  <c r="E135" i="1" s="1"/>
  <c r="C136" i="1"/>
  <c r="E136" i="1" s="1"/>
  <c r="C137" i="1"/>
  <c r="E137" i="1" s="1"/>
  <c r="C138" i="1"/>
  <c r="E138" i="1" s="1"/>
  <c r="C139" i="1"/>
  <c r="E139" i="1" s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E193" i="1" s="1"/>
  <c r="C194" i="1"/>
  <c r="E194" i="1" s="1"/>
  <c r="C195" i="1"/>
  <c r="E195" i="1" s="1"/>
  <c r="C196" i="1"/>
  <c r="E196" i="1" s="1"/>
  <c r="C197" i="1"/>
  <c r="E197" i="1" s="1"/>
  <c r="C198" i="1"/>
  <c r="E198" i="1" s="1"/>
  <c r="C199" i="1"/>
  <c r="E199" i="1" s="1"/>
  <c r="C200" i="1"/>
  <c r="E200" i="1" s="1"/>
  <c r="C201" i="1"/>
  <c r="E201" i="1" s="1"/>
  <c r="C2" i="1"/>
  <c r="E2" i="1" s="1"/>
  <c r="W189" i="1"/>
  <c r="W190" i="1"/>
  <c r="N203" i="1"/>
  <c r="K203" i="1"/>
  <c r="H204" i="1"/>
  <c r="H203" i="1"/>
  <c r="S204" i="1"/>
  <c r="S203" i="1"/>
  <c r="T203" i="1"/>
  <c r="Q8" i="1"/>
  <c r="Q7" i="1"/>
  <c r="Q6" i="1"/>
  <c r="Q5" i="1"/>
  <c r="Q4" i="1"/>
  <c r="Q3" i="1"/>
  <c r="Q2" i="1"/>
  <c r="N212" i="1"/>
  <c r="K212" i="1"/>
  <c r="K211" i="1"/>
  <c r="O3" i="1"/>
  <c r="U3" i="1" s="1"/>
  <c r="O4" i="1"/>
  <c r="U4" i="1" s="1"/>
  <c r="O5" i="1"/>
  <c r="U5" i="1" s="1"/>
  <c r="O6" i="1"/>
  <c r="U6" i="1" s="1"/>
  <c r="O7" i="1"/>
  <c r="U7" i="1" s="1"/>
  <c r="O8" i="1"/>
  <c r="U8" i="1" s="1"/>
  <c r="O9" i="1"/>
  <c r="U9" i="1" s="1"/>
  <c r="O10" i="1"/>
  <c r="U10" i="1" s="1"/>
  <c r="O11" i="1"/>
  <c r="U11" i="1" s="1"/>
  <c r="O12" i="1"/>
  <c r="U12" i="1" s="1"/>
  <c r="O13" i="1"/>
  <c r="U13" i="1" s="1"/>
  <c r="O14" i="1"/>
  <c r="U14" i="1" s="1"/>
  <c r="O15" i="1"/>
  <c r="U15" i="1" s="1"/>
  <c r="O16" i="1"/>
  <c r="U16" i="1" s="1"/>
  <c r="O17" i="1"/>
  <c r="U17" i="1" s="1"/>
  <c r="O18" i="1"/>
  <c r="U18" i="1" s="1"/>
  <c r="O19" i="1"/>
  <c r="U19" i="1" s="1"/>
  <c r="O20" i="1"/>
  <c r="U20" i="1" s="1"/>
  <c r="O21" i="1"/>
  <c r="U21" i="1" s="1"/>
  <c r="O22" i="1"/>
  <c r="U22" i="1" s="1"/>
  <c r="O23" i="1"/>
  <c r="U23" i="1" s="1"/>
  <c r="O24" i="1"/>
  <c r="U24" i="1" s="1"/>
  <c r="O25" i="1"/>
  <c r="U25" i="1" s="1"/>
  <c r="O26" i="1"/>
  <c r="U26" i="1" s="1"/>
  <c r="O27" i="1"/>
  <c r="U27" i="1" s="1"/>
  <c r="O28" i="1"/>
  <c r="U28" i="1" s="1"/>
  <c r="O29" i="1"/>
  <c r="U29" i="1" s="1"/>
  <c r="O30" i="1"/>
  <c r="U30" i="1" s="1"/>
  <c r="O31" i="1"/>
  <c r="U31" i="1" s="1"/>
  <c r="O32" i="1"/>
  <c r="U32" i="1" s="1"/>
  <c r="O33" i="1"/>
  <c r="U33" i="1" s="1"/>
  <c r="O34" i="1"/>
  <c r="U34" i="1" s="1"/>
  <c r="O35" i="1"/>
  <c r="U35" i="1" s="1"/>
  <c r="O36" i="1"/>
  <c r="U36" i="1" s="1"/>
  <c r="O37" i="1"/>
  <c r="U37" i="1" s="1"/>
  <c r="O38" i="1"/>
  <c r="U38" i="1" s="1"/>
  <c r="O39" i="1"/>
  <c r="U39" i="1" s="1"/>
  <c r="O40" i="1"/>
  <c r="U40" i="1" s="1"/>
  <c r="O41" i="1"/>
  <c r="U41" i="1" s="1"/>
  <c r="O42" i="1"/>
  <c r="U42" i="1" s="1"/>
  <c r="O43" i="1"/>
  <c r="U43" i="1" s="1"/>
  <c r="O44" i="1"/>
  <c r="U44" i="1" s="1"/>
  <c r="O45" i="1"/>
  <c r="U45" i="1" s="1"/>
  <c r="O46" i="1"/>
  <c r="U46" i="1" s="1"/>
  <c r="O47" i="1"/>
  <c r="U47" i="1" s="1"/>
  <c r="O48" i="1"/>
  <c r="U48" i="1" s="1"/>
  <c r="O49" i="1"/>
  <c r="U49" i="1" s="1"/>
  <c r="O50" i="1"/>
  <c r="U50" i="1" s="1"/>
  <c r="O51" i="1"/>
  <c r="U51" i="1" s="1"/>
  <c r="O52" i="1"/>
  <c r="U52" i="1" s="1"/>
  <c r="O53" i="1"/>
  <c r="U53" i="1" s="1"/>
  <c r="O54" i="1"/>
  <c r="U54" i="1" s="1"/>
  <c r="O55" i="1"/>
  <c r="U55" i="1" s="1"/>
  <c r="O56" i="1"/>
  <c r="U56" i="1" s="1"/>
  <c r="O57" i="1"/>
  <c r="U57" i="1" s="1"/>
  <c r="O58" i="1"/>
  <c r="U58" i="1" s="1"/>
  <c r="O59" i="1"/>
  <c r="U59" i="1" s="1"/>
  <c r="O60" i="1"/>
  <c r="U60" i="1" s="1"/>
  <c r="O61" i="1"/>
  <c r="U61" i="1" s="1"/>
  <c r="O62" i="1"/>
  <c r="U62" i="1" s="1"/>
  <c r="O63" i="1"/>
  <c r="U63" i="1" s="1"/>
  <c r="O64" i="1"/>
  <c r="U64" i="1" s="1"/>
  <c r="O65" i="1"/>
  <c r="U65" i="1" s="1"/>
  <c r="O66" i="1"/>
  <c r="U66" i="1" s="1"/>
  <c r="O67" i="1"/>
  <c r="U67" i="1" s="1"/>
  <c r="O68" i="1"/>
  <c r="U68" i="1" s="1"/>
  <c r="O69" i="1"/>
  <c r="U69" i="1" s="1"/>
  <c r="O70" i="1"/>
  <c r="U70" i="1" s="1"/>
  <c r="O71" i="1"/>
  <c r="U71" i="1" s="1"/>
  <c r="O72" i="1"/>
  <c r="U72" i="1" s="1"/>
  <c r="O73" i="1"/>
  <c r="U73" i="1" s="1"/>
  <c r="O74" i="1"/>
  <c r="U74" i="1" s="1"/>
  <c r="O75" i="1"/>
  <c r="U75" i="1" s="1"/>
  <c r="O76" i="1"/>
  <c r="U76" i="1" s="1"/>
  <c r="O77" i="1"/>
  <c r="U77" i="1" s="1"/>
  <c r="O78" i="1"/>
  <c r="U78" i="1" s="1"/>
  <c r="O79" i="1"/>
  <c r="U79" i="1" s="1"/>
  <c r="O80" i="1"/>
  <c r="U80" i="1" s="1"/>
  <c r="O81" i="1"/>
  <c r="U81" i="1" s="1"/>
  <c r="O82" i="1"/>
  <c r="U82" i="1" s="1"/>
  <c r="O83" i="1"/>
  <c r="U83" i="1" s="1"/>
  <c r="O84" i="1"/>
  <c r="U84" i="1" s="1"/>
  <c r="O85" i="1"/>
  <c r="U85" i="1" s="1"/>
  <c r="O86" i="1"/>
  <c r="U86" i="1" s="1"/>
  <c r="O87" i="1"/>
  <c r="U87" i="1" s="1"/>
  <c r="O88" i="1"/>
  <c r="U88" i="1" s="1"/>
  <c r="O89" i="1"/>
  <c r="U89" i="1" s="1"/>
  <c r="O90" i="1"/>
  <c r="U90" i="1" s="1"/>
  <c r="O91" i="1"/>
  <c r="U91" i="1" s="1"/>
  <c r="O92" i="1"/>
  <c r="U92" i="1" s="1"/>
  <c r="O93" i="1"/>
  <c r="U93" i="1" s="1"/>
  <c r="O94" i="1"/>
  <c r="U94" i="1" s="1"/>
  <c r="O95" i="1"/>
  <c r="U95" i="1" s="1"/>
  <c r="O96" i="1"/>
  <c r="U96" i="1" s="1"/>
  <c r="O97" i="1"/>
  <c r="U97" i="1" s="1"/>
  <c r="O98" i="1"/>
  <c r="U98" i="1" s="1"/>
  <c r="O99" i="1"/>
  <c r="U99" i="1" s="1"/>
  <c r="O100" i="1"/>
  <c r="U100" i="1" s="1"/>
  <c r="O101" i="1"/>
  <c r="U101" i="1" s="1"/>
  <c r="O102" i="1"/>
  <c r="U102" i="1" s="1"/>
  <c r="O103" i="1"/>
  <c r="U103" i="1" s="1"/>
  <c r="O104" i="1"/>
  <c r="U104" i="1" s="1"/>
  <c r="O105" i="1"/>
  <c r="U105" i="1" s="1"/>
  <c r="O106" i="1"/>
  <c r="U106" i="1" s="1"/>
  <c r="O107" i="1"/>
  <c r="U107" i="1" s="1"/>
  <c r="O108" i="1"/>
  <c r="U108" i="1" s="1"/>
  <c r="O109" i="1"/>
  <c r="U109" i="1" s="1"/>
  <c r="O110" i="1"/>
  <c r="U110" i="1" s="1"/>
  <c r="O111" i="1"/>
  <c r="U111" i="1" s="1"/>
  <c r="O112" i="1"/>
  <c r="U112" i="1" s="1"/>
  <c r="O113" i="1"/>
  <c r="U113" i="1" s="1"/>
  <c r="O114" i="1"/>
  <c r="U114" i="1" s="1"/>
  <c r="O115" i="1"/>
  <c r="U115" i="1" s="1"/>
  <c r="O116" i="1"/>
  <c r="U116" i="1" s="1"/>
  <c r="O117" i="1"/>
  <c r="U117" i="1" s="1"/>
  <c r="O118" i="1"/>
  <c r="U118" i="1" s="1"/>
  <c r="O119" i="1"/>
  <c r="U119" i="1" s="1"/>
  <c r="O120" i="1"/>
  <c r="U120" i="1" s="1"/>
  <c r="O121" i="1"/>
  <c r="U121" i="1" s="1"/>
  <c r="O122" i="1"/>
  <c r="U122" i="1" s="1"/>
  <c r="O123" i="1"/>
  <c r="U123" i="1" s="1"/>
  <c r="O124" i="1"/>
  <c r="U124" i="1" s="1"/>
  <c r="O125" i="1"/>
  <c r="U125" i="1" s="1"/>
  <c r="O126" i="1"/>
  <c r="U126" i="1" s="1"/>
  <c r="O127" i="1"/>
  <c r="U127" i="1" s="1"/>
  <c r="O128" i="1"/>
  <c r="U128" i="1" s="1"/>
  <c r="O129" i="1"/>
  <c r="U129" i="1" s="1"/>
  <c r="O130" i="1"/>
  <c r="U130" i="1" s="1"/>
  <c r="O131" i="1"/>
  <c r="U131" i="1" s="1"/>
  <c r="O132" i="1"/>
  <c r="U132" i="1" s="1"/>
  <c r="O133" i="1"/>
  <c r="U133" i="1" s="1"/>
  <c r="O134" i="1"/>
  <c r="U134" i="1" s="1"/>
  <c r="O135" i="1"/>
  <c r="U135" i="1" s="1"/>
  <c r="O136" i="1"/>
  <c r="U136" i="1" s="1"/>
  <c r="O137" i="1"/>
  <c r="U137" i="1" s="1"/>
  <c r="O138" i="1"/>
  <c r="U138" i="1" s="1"/>
  <c r="O139" i="1"/>
  <c r="U139" i="1" s="1"/>
  <c r="O140" i="1"/>
  <c r="U140" i="1" s="1"/>
  <c r="O141" i="1"/>
  <c r="U141" i="1" s="1"/>
  <c r="O142" i="1"/>
  <c r="U142" i="1" s="1"/>
  <c r="O143" i="1"/>
  <c r="U143" i="1" s="1"/>
  <c r="O144" i="1"/>
  <c r="U144" i="1" s="1"/>
  <c r="O145" i="1"/>
  <c r="U145" i="1" s="1"/>
  <c r="O146" i="1"/>
  <c r="U146" i="1" s="1"/>
  <c r="O147" i="1"/>
  <c r="U147" i="1" s="1"/>
  <c r="O148" i="1"/>
  <c r="U148" i="1" s="1"/>
  <c r="O149" i="1"/>
  <c r="U149" i="1" s="1"/>
  <c r="O150" i="1"/>
  <c r="U150" i="1" s="1"/>
  <c r="O151" i="1"/>
  <c r="U151" i="1" s="1"/>
  <c r="O152" i="1"/>
  <c r="U152" i="1" s="1"/>
  <c r="O153" i="1"/>
  <c r="U153" i="1" s="1"/>
  <c r="O154" i="1"/>
  <c r="U154" i="1" s="1"/>
  <c r="O155" i="1"/>
  <c r="U155" i="1" s="1"/>
  <c r="O156" i="1"/>
  <c r="U156" i="1" s="1"/>
  <c r="O157" i="1"/>
  <c r="U157" i="1" s="1"/>
  <c r="O158" i="1"/>
  <c r="U158" i="1" s="1"/>
  <c r="O159" i="1"/>
  <c r="U159" i="1" s="1"/>
  <c r="O160" i="1"/>
  <c r="U160" i="1" s="1"/>
  <c r="O161" i="1"/>
  <c r="U161" i="1" s="1"/>
  <c r="O162" i="1"/>
  <c r="U162" i="1" s="1"/>
  <c r="O163" i="1"/>
  <c r="U163" i="1" s="1"/>
  <c r="O164" i="1"/>
  <c r="U164" i="1" s="1"/>
  <c r="O165" i="1"/>
  <c r="U165" i="1" s="1"/>
  <c r="O166" i="1"/>
  <c r="U166" i="1" s="1"/>
  <c r="O167" i="1"/>
  <c r="U167" i="1" s="1"/>
  <c r="O168" i="1"/>
  <c r="U168" i="1" s="1"/>
  <c r="O169" i="1"/>
  <c r="U169" i="1" s="1"/>
  <c r="O170" i="1"/>
  <c r="U170" i="1" s="1"/>
  <c r="O171" i="1"/>
  <c r="U171" i="1" s="1"/>
  <c r="O172" i="1"/>
  <c r="U172" i="1" s="1"/>
  <c r="O173" i="1"/>
  <c r="U173" i="1" s="1"/>
  <c r="O174" i="1"/>
  <c r="U174" i="1" s="1"/>
  <c r="O175" i="1"/>
  <c r="U175" i="1" s="1"/>
  <c r="O176" i="1"/>
  <c r="U176" i="1" s="1"/>
  <c r="O177" i="1"/>
  <c r="U177" i="1" s="1"/>
  <c r="O178" i="1"/>
  <c r="U178" i="1" s="1"/>
  <c r="O179" i="1"/>
  <c r="U179" i="1" s="1"/>
  <c r="O180" i="1"/>
  <c r="U180" i="1" s="1"/>
  <c r="O181" i="1"/>
  <c r="U181" i="1" s="1"/>
  <c r="O182" i="1"/>
  <c r="U182" i="1" s="1"/>
  <c r="O183" i="1"/>
  <c r="U183" i="1" s="1"/>
  <c r="O184" i="1"/>
  <c r="U184" i="1" s="1"/>
  <c r="O185" i="1"/>
  <c r="U185" i="1" s="1"/>
  <c r="O186" i="1"/>
  <c r="U186" i="1" s="1"/>
  <c r="O187" i="1"/>
  <c r="U187" i="1" s="1"/>
  <c r="O188" i="1"/>
  <c r="U188" i="1" s="1"/>
  <c r="O189" i="1"/>
  <c r="U189" i="1" s="1"/>
  <c r="O190" i="1"/>
  <c r="U190" i="1" s="1"/>
  <c r="O191" i="1"/>
  <c r="U191" i="1" s="1"/>
  <c r="O192" i="1"/>
  <c r="U192" i="1" s="1"/>
  <c r="O193" i="1"/>
  <c r="U193" i="1" s="1"/>
  <c r="O194" i="1"/>
  <c r="U194" i="1" s="1"/>
  <c r="O195" i="1"/>
  <c r="U195" i="1" s="1"/>
  <c r="O196" i="1"/>
  <c r="U196" i="1" s="1"/>
  <c r="O197" i="1"/>
  <c r="U197" i="1" s="1"/>
  <c r="O198" i="1"/>
  <c r="U198" i="1" s="1"/>
  <c r="O199" i="1"/>
  <c r="U199" i="1" s="1"/>
  <c r="O200" i="1"/>
  <c r="U200" i="1" s="1"/>
  <c r="O201" i="1"/>
  <c r="U201" i="1" s="1"/>
  <c r="O2" i="1"/>
  <c r="U2" i="1" s="1"/>
  <c r="E55" i="1" l="1"/>
  <c r="E54" i="1"/>
  <c r="E56" i="1"/>
  <c r="E57" i="1"/>
  <c r="E58" i="1"/>
  <c r="E140" i="1"/>
  <c r="E59" i="1"/>
  <c r="E60" i="1"/>
  <c r="E61" i="1"/>
  <c r="E141" i="1"/>
  <c r="E142" i="1"/>
  <c r="E143" i="1"/>
  <c r="E144" i="1"/>
  <c r="E145" i="1"/>
  <c r="E146" i="1"/>
  <c r="E62" i="1"/>
  <c r="E63" i="1"/>
  <c r="E64" i="1"/>
  <c r="E65" i="1"/>
  <c r="E66" i="1"/>
  <c r="E67" i="1"/>
  <c r="E68" i="1"/>
  <c r="E69" i="1"/>
  <c r="E70" i="1"/>
  <c r="E71" i="1"/>
  <c r="E11" i="1"/>
  <c r="E12" i="1"/>
  <c r="E74" i="1"/>
  <c r="E75" i="1"/>
  <c r="E76" i="1"/>
  <c r="E78" i="1"/>
  <c r="E79" i="1"/>
  <c r="E80" i="1"/>
  <c r="E99" i="1"/>
  <c r="E100" i="1"/>
  <c r="E101" i="1"/>
  <c r="E102" i="1"/>
  <c r="E103" i="1"/>
  <c r="E104" i="1"/>
  <c r="E105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1" i="1"/>
  <c r="E164" i="1"/>
  <c r="E178" i="1"/>
  <c r="E179" i="1"/>
  <c r="E180" i="1"/>
  <c r="E181" i="1"/>
  <c r="E182" i="1"/>
  <c r="E183" i="1"/>
  <c r="E184" i="1"/>
  <c r="E185" i="1"/>
  <c r="E186" i="1"/>
  <c r="E188" i="1"/>
  <c r="E189" i="1"/>
  <c r="E190" i="1"/>
  <c r="E191" i="1"/>
  <c r="E192" i="1"/>
  <c r="E5" i="1"/>
  <c r="E187" i="1"/>
  <c r="E17" i="1"/>
  <c r="E18" i="1"/>
  <c r="E19" i="1"/>
  <c r="E20" i="1"/>
  <c r="E21" i="1"/>
  <c r="E22" i="1"/>
  <c r="E23" i="1"/>
  <c r="E24" i="1"/>
  <c r="E25" i="1"/>
  <c r="E26" i="1"/>
  <c r="E28" i="1"/>
  <c r="E30" i="1"/>
  <c r="E116" i="1"/>
  <c r="E117" i="1"/>
  <c r="E118" i="1"/>
  <c r="E119" i="1"/>
  <c r="E120" i="1"/>
  <c r="E121" i="1"/>
  <c r="E122" i="1"/>
  <c r="E123" i="1"/>
  <c r="E124" i="1"/>
  <c r="E126" i="1"/>
  <c r="E127" i="1"/>
  <c r="E128" i="1"/>
  <c r="E129" i="1"/>
  <c r="E163" i="1"/>
  <c r="E162" i="1"/>
  <c r="E77" i="1"/>
  <c r="E125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41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160" i="1"/>
  <c r="U212" i="1"/>
  <c r="U211" i="1"/>
  <c r="O211" i="1"/>
  <c r="O212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<sst xmlns="http://schemas.openxmlformats.org/spreadsheetml/2006/main" count="1089" uniqueCount="214">
  <si>
    <t>OrderID</t>
  </si>
  <si>
    <t>BookCode</t>
  </si>
  <si>
    <t>CustomerID</t>
  </si>
  <si>
    <t>CustomerType</t>
  </si>
  <si>
    <t>BookGenre</t>
  </si>
  <si>
    <t>Quantity</t>
  </si>
  <si>
    <t>UnitPrice</t>
  </si>
  <si>
    <t>OrderDate</t>
  </si>
  <si>
    <t>DiscountCode</t>
  </si>
  <si>
    <t>FAN-068</t>
  </si>
  <si>
    <t>CUS-00022</t>
  </si>
  <si>
    <t>New</t>
  </si>
  <si>
    <t>Fantasy</t>
  </si>
  <si>
    <t>HIS-074</t>
  </si>
  <si>
    <t>CUS-00086</t>
  </si>
  <si>
    <t>Book Club</t>
  </si>
  <si>
    <t>Historical Fiction</t>
  </si>
  <si>
    <t>TEACHER20</t>
  </si>
  <si>
    <t>HIS-035</t>
  </si>
  <si>
    <t>CUS-00007</t>
  </si>
  <si>
    <t>MEMBER5</t>
  </si>
  <si>
    <t>SCI-043</t>
  </si>
  <si>
    <t>CUS-00021</t>
  </si>
  <si>
    <t>Science Fiction</t>
  </si>
  <si>
    <t>SUMMER15</t>
  </si>
  <si>
    <t>HOR-060</t>
  </si>
  <si>
    <t>CUS-00004</t>
  </si>
  <si>
    <t>Horror</t>
  </si>
  <si>
    <t>MYS-066</t>
  </si>
  <si>
    <t>Returning</t>
  </si>
  <si>
    <t>Mystery</t>
  </si>
  <si>
    <t>THR-036</t>
  </si>
  <si>
    <t>CUS-00044</t>
  </si>
  <si>
    <t>Thriller</t>
  </si>
  <si>
    <t>READMORE</t>
  </si>
  <si>
    <t>ROM-067</t>
  </si>
  <si>
    <t>CUS-00058</t>
  </si>
  <si>
    <t>Romance</t>
  </si>
  <si>
    <t>GRN-065</t>
  </si>
  <si>
    <t>CUS-00002</t>
  </si>
  <si>
    <t>Graphic Novel</t>
  </si>
  <si>
    <t>CUS-00082</t>
  </si>
  <si>
    <t>Member</t>
  </si>
  <si>
    <t>MYS-014</t>
  </si>
  <si>
    <t>CUS-00029</t>
  </si>
  <si>
    <t>SCI-069</t>
  </si>
  <si>
    <t>CUS-00072</t>
  </si>
  <si>
    <t>HIS-061</t>
  </si>
  <si>
    <t>CUS-00067</t>
  </si>
  <si>
    <t>Educator</t>
  </si>
  <si>
    <t>BIO-071</t>
  </si>
  <si>
    <t>CUS-00049</t>
  </si>
  <si>
    <t>Biography</t>
  </si>
  <si>
    <t>YAD-063</t>
  </si>
  <si>
    <t>CUS-00027</t>
  </si>
  <si>
    <t>Young Adult</t>
  </si>
  <si>
    <t>CUS-00030</t>
  </si>
  <si>
    <t>NFC-070</t>
  </si>
  <si>
    <t>CUS-00011</t>
  </si>
  <si>
    <t>Nonfiction</t>
  </si>
  <si>
    <t>SLF-064</t>
  </si>
  <si>
    <t>Self-Help</t>
  </si>
  <si>
    <t>MYS-027</t>
  </si>
  <si>
    <t>CUS-00052</t>
  </si>
  <si>
    <t>CUS-00041</t>
  </si>
  <si>
    <t>CUS-00006</t>
  </si>
  <si>
    <t>NFC-031</t>
  </si>
  <si>
    <t>CUS-00069</t>
  </si>
  <si>
    <t>SUMMER10</t>
  </si>
  <si>
    <t>BIO-058</t>
  </si>
  <si>
    <t>CUS-00063</t>
  </si>
  <si>
    <t>CUS-00031</t>
  </si>
  <si>
    <t>POE-072</t>
  </si>
  <si>
    <t>CUS-00068</t>
  </si>
  <si>
    <t>Poetry</t>
  </si>
  <si>
    <t>SCI-056</t>
  </si>
  <si>
    <t>NFC-057</t>
  </si>
  <si>
    <t>CUS-00087</t>
  </si>
  <si>
    <t>POE-007</t>
  </si>
  <si>
    <t>THR-075</t>
  </si>
  <si>
    <t>CUS-00051</t>
  </si>
  <si>
    <t>POE-020</t>
  </si>
  <si>
    <t>HIS-022</t>
  </si>
  <si>
    <t>CUS-00071</t>
  </si>
  <si>
    <t>MYS-040</t>
  </si>
  <si>
    <t>MYS-053</t>
  </si>
  <si>
    <t>GRN-052</t>
  </si>
  <si>
    <t>CUS-00005</t>
  </si>
  <si>
    <t>HOR-034</t>
  </si>
  <si>
    <t>BIO-045</t>
  </si>
  <si>
    <t>CUS-00081</t>
  </si>
  <si>
    <t>FAN-055</t>
  </si>
  <si>
    <t>CUS-00023</t>
  </si>
  <si>
    <t>CUS-00056</t>
  </si>
  <si>
    <t>CUS-00015</t>
  </si>
  <si>
    <t>CUS-00088</t>
  </si>
  <si>
    <t>GRN-039</t>
  </si>
  <si>
    <t>CUS-00050</t>
  </si>
  <si>
    <t>BOOKCLUB</t>
  </si>
  <si>
    <t>CUS-00062</t>
  </si>
  <si>
    <t>YAD-037</t>
  </si>
  <si>
    <t>CUS-00089</t>
  </si>
  <si>
    <t>BIO-006</t>
  </si>
  <si>
    <t>CUS-00016</t>
  </si>
  <si>
    <t>THR-062</t>
  </si>
  <si>
    <t>CUS-00079</t>
  </si>
  <si>
    <t>CUS-00024</t>
  </si>
  <si>
    <t>FAN-042</t>
  </si>
  <si>
    <t>CUS-00066</t>
  </si>
  <si>
    <t>HOR-021</t>
  </si>
  <si>
    <t>CUS-00059</t>
  </si>
  <si>
    <t>CUS-00047</t>
  </si>
  <si>
    <t>YAD-024</t>
  </si>
  <si>
    <t>CUS-00046</t>
  </si>
  <si>
    <t>ROM-015</t>
  </si>
  <si>
    <t>CUS-00037</t>
  </si>
  <si>
    <t>POE-059</t>
  </si>
  <si>
    <t>ROM-054</t>
  </si>
  <si>
    <t>CUS-00085</t>
  </si>
  <si>
    <t>POE-046</t>
  </si>
  <si>
    <t>CUS-00034</t>
  </si>
  <si>
    <t>HOR-073</t>
  </si>
  <si>
    <t>CUS-00078</t>
  </si>
  <si>
    <t>CUS-00080</t>
  </si>
  <si>
    <t>NFC-005</t>
  </si>
  <si>
    <t>FALL10</t>
  </si>
  <si>
    <t>HOR-047</t>
  </si>
  <si>
    <t>CUS-00090</t>
  </si>
  <si>
    <t>HIS-048</t>
  </si>
  <si>
    <t>CUS-00033</t>
  </si>
  <si>
    <t>YAD-050</t>
  </si>
  <si>
    <t>CUS-00048</t>
  </si>
  <si>
    <t>YAD-011</t>
  </si>
  <si>
    <t>CUS-00055</t>
  </si>
  <si>
    <t>SLF-038</t>
  </si>
  <si>
    <t>CUS-00053</t>
  </si>
  <si>
    <t>NFC-044</t>
  </si>
  <si>
    <t>CUS-00017</t>
  </si>
  <si>
    <t>CUS-00073</t>
  </si>
  <si>
    <t>BIO-032</t>
  </si>
  <si>
    <t>THR-049</t>
  </si>
  <si>
    <t>CUS-00025</t>
  </si>
  <si>
    <t>CUS-00054</t>
  </si>
  <si>
    <t>ROM-041</t>
  </si>
  <si>
    <t>CUS-00077</t>
  </si>
  <si>
    <t>CUS-00003</t>
  </si>
  <si>
    <t>CUS-00043</t>
  </si>
  <si>
    <t>CUS-00008</t>
  </si>
  <si>
    <t>SLF-051</t>
  </si>
  <si>
    <t>CUS-00070</t>
  </si>
  <si>
    <t>CUS-00010</t>
  </si>
  <si>
    <t>CUS-00026</t>
  </si>
  <si>
    <t>CUS-00039</t>
  </si>
  <si>
    <t>THR-023</t>
  </si>
  <si>
    <t>POE-033</t>
  </si>
  <si>
    <t>CUS-00042</t>
  </si>
  <si>
    <t>MYS-001</t>
  </si>
  <si>
    <t>CUS-00013</t>
  </si>
  <si>
    <t>CUS-00065</t>
  </si>
  <si>
    <t>SCI-017</t>
  </si>
  <si>
    <t>CUS-00014</t>
  </si>
  <si>
    <t>CUS-00061</t>
  </si>
  <si>
    <t>ROM-002</t>
  </si>
  <si>
    <t>CUS-00032</t>
  </si>
  <si>
    <t>FAN-016</t>
  </si>
  <si>
    <t>CUS-00028</t>
  </si>
  <si>
    <t>CUS-00060</t>
  </si>
  <si>
    <t>CUS-00035</t>
  </si>
  <si>
    <t>CUS-00074</t>
  </si>
  <si>
    <t>SCI-004</t>
  </si>
  <si>
    <t>THR-010</t>
  </si>
  <si>
    <t>SLF-012</t>
  </si>
  <si>
    <t>GRN-013</t>
  </si>
  <si>
    <t>CUS-00075</t>
  </si>
  <si>
    <t>CUS-00038</t>
  </si>
  <si>
    <t>HIS-009</t>
  </si>
  <si>
    <t>ROM-028</t>
  </si>
  <si>
    <t>SLF-025</t>
  </si>
  <si>
    <t>CUS-00019</t>
  </si>
  <si>
    <t>NFC-018</t>
  </si>
  <si>
    <t>FAN-029</t>
  </si>
  <si>
    <t>CUS-00083</t>
  </si>
  <si>
    <t>BIO-019</t>
  </si>
  <si>
    <t>DiscountPercent</t>
  </si>
  <si>
    <t>OrderValue</t>
  </si>
  <si>
    <t>Payment</t>
  </si>
  <si>
    <t>COUNT</t>
  </si>
  <si>
    <t>COUNTA</t>
  </si>
  <si>
    <t>COUNTBLANK</t>
  </si>
  <si>
    <t>COUNTIF</t>
  </si>
  <si>
    <t>COUNTIFS</t>
  </si>
  <si>
    <t>LEFT</t>
  </si>
  <si>
    <t>RIGHT</t>
  </si>
  <si>
    <t>LEN</t>
  </si>
  <si>
    <t>&amp;</t>
  </si>
  <si>
    <t>GenreAbbr</t>
  </si>
  <si>
    <t>Code</t>
  </si>
  <si>
    <t>GenreLength</t>
  </si>
  <si>
    <t>BookCode2</t>
  </si>
  <si>
    <t>IF</t>
  </si>
  <si>
    <t>IFS</t>
  </si>
  <si>
    <t>Discount</t>
  </si>
  <si>
    <t>GenreType</t>
  </si>
  <si>
    <t>Fiction</t>
  </si>
  <si>
    <t>Row Labels</t>
  </si>
  <si>
    <t>Grand Total</t>
  </si>
  <si>
    <t>Sum of Quantity</t>
  </si>
  <si>
    <t>Column Labels</t>
  </si>
  <si>
    <t>Jun</t>
  </si>
  <si>
    <t>Jul</t>
  </si>
  <si>
    <t>Aug</t>
  </si>
  <si>
    <t>Special</t>
  </si>
  <si>
    <t>Regular</t>
  </si>
  <si>
    <t>Column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</si>
</sst>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164" formatCode="\$#,##0.00"/>
    <numFmt numFmtId="165" formatCode="&quot;$&quot;#,##0.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9" fontId="2" fillId="0" borderId="0" applyFont="0" applyFill="0" applyBorder="0" applyAlignment="0" applyProtection="0"/>
    <xf numFmtId="44" fontId="2" fillId="0" borderId="0" applyFont="0" applyFill="0" applyBorder="0" applyAlignment="0" applyProtection="0"/>
  </cellStyleXfs>
  <cellXfs count="13">
    <xf numFmtId="0" fontId="0" fillId="0" borderId="0" xfId="0"/>
    <xf numFmtId="0" fontId="1" fillId="2" borderId="0" xfId="0" applyFont="1" applyFill="1"/>
    <xf numFmtId="164" fontId="0" fillId="0" borderId="0" xfId="0" applyNumberFormat="1"/>
    <xf numFmtId="14" fontId="0" fillId="0" borderId="0" xfId="0" applyNumberFormat="1"/>
    <xf numFmtId="9" fontId="0" fillId="0" borderId="0" xfId="1" applyFont="1"/>
    <xf numFmtId="0" fontId="0" fillId="0" borderId="0" xfId="0" applyNumberFormat="1"/>
    <xf numFmtId="165" fontId="1" fillId="2" borderId="0" xfId="0" applyNumberFormat="1" applyFont="1" applyFill="1"/>
    <xf numFmtId="165" fontId="0" fillId="0" borderId="0" xfId="1" applyNumberFormat="1" applyFont="1"/>
    <xf numFmtId="165" fontId="0" fillId="0" borderId="0" xfId="0" applyNumberFormat="1"/>
    <xf numFmtId="165" fontId="0" fillId="0" borderId="0" xfId="2" applyNumberFormat="1" applyFont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</cellXfs>
  <cellStyles count="3">
    <cellStyle name="Currency" xfId="2" builtinId="4"/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pivotCacheDefinition" Target="pivotCache/pivotCacheDefinition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Keiko Savannah Burnett Bridwell" refreshedDate="46304.497202314815" createdVersion="8" refreshedVersion="8" minRefreshableVersion="3" recordCount="100" xr:uid="{F1254C73-41EB-4525-B2BA-2665EF22D6C4}">
  <cacheSource type="worksheet">
    <worksheetSource ref="A1:U101" sheet="BookstoreOrders"/>
  </cacheSource>
  <cacheFields count="25">
    <cacheField name="OrderID" numFmtId="0">
      <sharedItems containsSemiMixedTypes="0" containsString="0" containsNumber="1" containsInteger="1" minValue="100001" maxValue="100100"/>
    </cacheField>
    <cacheField name="BookCode" numFmtId="0">
      <sharedItems/>
    </cacheField>
    <cacheField name="GenreAbbr" numFmtId="0">
      <sharedItems/>
    </cacheField>
    <cacheField name="Code" numFmtId="0">
      <sharedItems/>
    </cacheField>
    <cacheField name="BookCode2" numFmtId="0">
      <sharedItems/>
    </cacheField>
    <cacheField name="CustomerID" numFmtId="0">
      <sharedItems/>
    </cacheField>
    <cacheField name="CustomerType" numFmtId="0">
      <sharedItems count="5">
        <s v="New"/>
        <s v="Book Club"/>
        <s v="Returning"/>
        <s v="Member"/>
        <s v="Educator"/>
      </sharedItems>
      <fieldGroup par="24"/>
    </cacheField>
    <cacheField name="BookGenre" numFmtId="0">
      <sharedItems count="13">
        <s v="Fantasy"/>
        <s v="Historical Fiction"/>
        <s v="Science Fiction"/>
        <s v="Horror"/>
        <s v="Mystery"/>
        <s v="Thriller"/>
        <s v="Romance"/>
        <s v="Graphic Novel"/>
        <s v="Biography"/>
        <s v="Young Adult"/>
        <s v="Nonfiction"/>
        <s v="Self-Help"/>
        <s v="Poetry"/>
      </sharedItems>
      <fieldGroup par="23"/>
    </cacheField>
    <cacheField name="GenreLength" numFmtId="0">
      <sharedItems containsSemiMixedTypes="0" containsString="0" containsNumber="1" containsInteger="1" minValue="6" maxValue="18"/>
    </cacheField>
    <cacheField name="GenreType" numFmtId="0">
      <sharedItems/>
    </cacheField>
    <cacheField name="Quantity" numFmtId="0">
      <sharedItems containsSemiMixedTypes="0" containsString="0" containsNumber="1" containsInteger="1" minValue="1" maxValue="79"/>
    </cacheField>
    <cacheField name="Field12" caption="Field12" numFmtId="0">
      <sharedItems/>
    </cacheField>
    <cacheField name="Field13" caption="Field13" numFmtId="0">
      <sharedItems/>
    </cacheField>
    <cacheField name="UnitPrice" numFmtId="164">
      <sharedItems containsSemiMixedTypes="0" containsString="0" containsNumber="1" minValue="8.99" maxValue="34.64"/>
    </cacheField>
    <cacheField name="OrderValue" numFmtId="164">
      <sharedItems containsSemiMixedTypes="0" containsString="0" containsNumber="1" minValue="9.42" maxValue="1176.31"/>
    </cacheField>
    <cacheField name="OrderDate" numFmtId="14">
      <sharedItems containsSemiMixedTypes="0" containsNonDate="0" containsDate="1" containsString="0" minDate="2026-06-01T00:00:00" maxDate="2026-08-06T00:00:00" count="66">
        <d v="2026-06-01T00:00:00"/>
        <d v="2026-06-02T00:00:00"/>
        <d v="2026-06-03T00:00:00"/>
        <d v="2026-06-04T00:00:00"/>
        <d v="2026-06-05T00:00:00"/>
        <d v="2026-06-06T00:00:00"/>
        <d v="2026-06-07T00:00:00"/>
        <d v="2026-06-08T00:00:00"/>
        <d v="2026-06-09T00:00:00"/>
        <d v="2026-06-10T00:00:00"/>
        <d v="2026-06-11T00:00:00"/>
        <d v="2026-06-12T00:00:00"/>
        <d v="2026-06-13T00:00:00"/>
        <d v="2026-06-14T00:00:00"/>
        <d v="2026-06-15T00:00:00"/>
        <d v="2026-06-16T00:00:00"/>
        <d v="2026-06-17T00:00:00"/>
        <d v="2026-06-18T00:00:00"/>
        <d v="2026-06-19T00:00:00"/>
        <d v="2026-06-20T00:00:00"/>
        <d v="2026-06-21T00:00:00"/>
        <d v="2026-06-22T00:00:00"/>
        <d v="2026-06-23T00:00:00"/>
        <d v="2026-06-24T00:00:00"/>
        <d v="2026-06-25T00:00:00"/>
        <d v="2026-06-26T00:00:00"/>
        <d v="2026-06-27T00:00:00"/>
        <d v="2026-06-28T00:00:00"/>
        <d v="2026-06-29T00:00:00"/>
        <d v="2026-06-30T00:00:00"/>
        <d v="2026-07-01T00:00:00"/>
        <d v="2026-07-02T00:00:00"/>
        <d v="2026-07-03T00:00:00"/>
        <d v="2026-07-04T00:00:00"/>
        <d v="2026-07-05T00:00:00"/>
        <d v="2026-07-06T00:00:00"/>
        <d v="2026-07-07T00:00:00"/>
        <d v="2026-07-08T00:00:00"/>
        <d v="2026-07-09T00:00:00"/>
        <d v="2026-07-10T00:00:00"/>
        <d v="2026-07-11T00:00:00"/>
        <d v="2026-07-12T00:00:00"/>
        <d v="2026-07-13T00:00:00"/>
        <d v="2026-07-14T00:00:00"/>
        <d v="2026-07-15T00:00:00"/>
        <d v="2026-07-16T00:00:00"/>
        <d v="2026-07-17T00:00:00"/>
        <d v="2026-07-18T00:00:00"/>
        <d v="2026-07-19T00:00:00"/>
        <d v="2026-07-20T00:00:00"/>
        <d v="2026-07-21T00:00:00"/>
        <d v="2026-07-22T00:00:00"/>
        <d v="2026-07-23T00:00:00"/>
        <d v="2026-07-24T00:00:00"/>
        <d v="2026-07-25T00:00:00"/>
        <d v="2026-07-26T00:00:00"/>
        <d v="2026-07-27T00:00:00"/>
        <d v="2026-07-28T00:00:00"/>
        <d v="2026-07-29T00:00:00"/>
        <d v="2026-07-30T00:00:00"/>
        <d v="2026-07-31T00:00:00"/>
        <d v="2026-08-01T00:00:00"/>
        <d v="2026-08-02T00:00:00"/>
        <d v="2026-08-03T00:00:00"/>
        <d v="2026-08-04T00:00:00"/>
        <d v="2026-08-05T00:00:00"/>
      </sharedItems>
      <fieldGroup par="22"/>
    </cacheField>
    <cacheField name="Field17" caption="Field17" numFmtId="0">
      <sharedItems containsBlank="1" containsMixedTypes="1" containsNumber="1" containsInteger="1" minValue="2" maxValue="2026"/>
    </cacheField>
    <cacheField name="Discount" numFmtId="0">
      <sharedItems/>
    </cacheField>
    <cacheField name="DiscountCode" numFmtId="0">
      <sharedItems containsBlank="1"/>
    </cacheField>
    <cacheField name="DiscountPercent" numFmtId="9">
      <sharedItems containsString="0" containsBlank="1" containsNumber="1" minValue="0.05" maxValue="0.2"/>
    </cacheField>
    <cacheField name="Payment" numFmtId="165">
      <sharedItems containsSemiMixedTypes="0" containsString="0" containsNumber="1" minValue="7.7360000000000007" maxValue="1176.31"/>
    </cacheField>
    <cacheField name="Days (OrderDate)" numFmtId="0" databaseField="0">
      <fieldGroup base="15">
        <rangePr groupBy="days" startDate="2026-06-01T00:00:00" endDate="2026-08-06T00:00:00"/>
        <groupItems count="368">
          <s v="&lt;6/1/2026"/>
          <s v="1-Jan"/>
          <s v="2-Jan"/>
          <s v="3-Jan"/>
          <s v="4-Jan"/>
          <s v="5-Jan"/>
          <s v="6-Jan"/>
          <s v="7-Jan"/>
          <s v="8-Jan"/>
          <s v="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1-Feb"/>
          <s v="2-Feb"/>
          <s v="3-Feb"/>
          <s v="4-Feb"/>
          <s v="5-Feb"/>
          <s v="6-Feb"/>
          <s v="7-Feb"/>
          <s v="8-Feb"/>
          <s v="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1-Mar"/>
          <s v="2-Mar"/>
          <s v="3-Mar"/>
          <s v="4-Mar"/>
          <s v="5-Mar"/>
          <s v="6-Mar"/>
          <s v="7-Mar"/>
          <s v="8-Mar"/>
          <s v="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1-Apr"/>
          <s v="2-Apr"/>
          <s v="3-Apr"/>
          <s v="4-Apr"/>
          <s v="5-Apr"/>
          <s v="6-Apr"/>
          <s v="7-Apr"/>
          <s v="8-Apr"/>
          <s v="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1-May"/>
          <s v="2-May"/>
          <s v="3-May"/>
          <s v="4-May"/>
          <s v="5-May"/>
          <s v="6-May"/>
          <s v="7-May"/>
          <s v="8-May"/>
          <s v="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1-Jun"/>
          <s v="2-Jun"/>
          <s v="3-Jun"/>
          <s v="4-Jun"/>
          <s v="5-Jun"/>
          <s v="6-Jun"/>
          <s v="7-Jun"/>
          <s v="8-Jun"/>
          <s v="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1-Jul"/>
          <s v="2-Jul"/>
          <s v="3-Jul"/>
          <s v="4-Jul"/>
          <s v="5-Jul"/>
          <s v="6-Jul"/>
          <s v="7-Jul"/>
          <s v="8-Jul"/>
          <s v="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1-Aug"/>
          <s v="2-Aug"/>
          <s v="3-Aug"/>
          <s v="4-Aug"/>
          <s v="5-Aug"/>
          <s v="6-Aug"/>
          <s v="7-Aug"/>
          <s v="8-Aug"/>
          <s v="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1-Sep"/>
          <s v="2-Sep"/>
          <s v="3-Sep"/>
          <s v="4-Sep"/>
          <s v="5-Sep"/>
          <s v="6-Sep"/>
          <s v="7-Sep"/>
          <s v="8-Sep"/>
          <s v="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1-Oct"/>
          <s v="2-Oct"/>
          <s v="3-Oct"/>
          <s v="4-Oct"/>
          <s v="5-Oct"/>
          <s v="6-Oct"/>
          <s v="7-Oct"/>
          <s v="8-Oct"/>
          <s v="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1-Nov"/>
          <s v="2-Nov"/>
          <s v="3-Nov"/>
          <s v="4-Nov"/>
          <s v="5-Nov"/>
          <s v="6-Nov"/>
          <s v="7-Nov"/>
          <s v="8-Nov"/>
          <s v="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1-Dec"/>
          <s v="2-Dec"/>
          <s v="3-Dec"/>
          <s v="4-Dec"/>
          <s v="5-Dec"/>
          <s v="6-Dec"/>
          <s v="7-Dec"/>
          <s v="8-Dec"/>
          <s v="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8/6/2026"/>
        </groupItems>
      </fieldGroup>
    </cacheField>
    <cacheField name="Months (OrderDate)" numFmtId="0" databaseField="0">
      <fieldGroup base="15">
        <rangePr groupBy="months" startDate="2026-06-01T00:00:00" endDate="2026-08-06T00:00:00"/>
        <groupItems count="14">
          <s v="&lt;6/1/2026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8/6/2026"/>
        </groupItems>
      </fieldGroup>
    </cacheField>
    <cacheField name="BookGenre2" numFmtId="0" databaseField="0">
      <fieldGroup base="7">
        <discretePr count="13">
          <x v="1"/>
          <x v="1"/>
          <x v="1"/>
          <x v="1"/>
          <x v="1"/>
          <x v="1"/>
          <x v="1"/>
          <x v="1"/>
          <x v="0"/>
          <x v="1"/>
          <x v="0"/>
          <x v="0"/>
          <x v="0"/>
        </discretePr>
        <groupItems count="2">
          <s v="Group1"/>
          <s v="Group2"/>
        </groupItems>
      </fieldGroup>
    </cacheField>
    <cacheField name="CustomerType2" numFmtId="0" databaseField="0">
      <fieldGroup base="6">
        <discretePr count="5">
          <x v="1"/>
          <x v="0"/>
          <x v="1"/>
          <x v="0"/>
          <x v="0"/>
        </discretePr>
        <groupItems count="2">
          <s v="Group1"/>
          <s v="Group2"/>
        </groupItems>
      </fieldGroup>
    </cacheField>
  </cacheFields>
  <extLst>
    <ext xmlns:x14="http://schemas.microsoft.com/office/spreadsheetml/2009/9/main" uri="{725AE2AE-9491-48be-B2B4-4EB974FC3084}">
      <x14:pivotCacheDefinition pivotCacheId="327480933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">
  <r>
    <n v="100001"/>
    <s v="FAN-068"/>
    <s v="FAN"/>
    <s v="068"/>
    <s v="FAN-068"/>
    <s v="CUS-00022"/>
    <x v="0"/>
    <x v="0"/>
    <n v="7"/>
    <s v="Fiction"/>
    <n v="2"/>
    <s v="Standard Order"/>
    <s v="Standard"/>
    <n v="22.93"/>
    <n v="45.86"/>
    <x v="0"/>
    <n v="2026"/>
    <s v="No Discount"/>
    <m/>
    <m/>
    <n v="45.86"/>
  </r>
  <r>
    <n v="100002"/>
    <s v="HIS-074"/>
    <s v="HIS"/>
    <s v="074"/>
    <s v="HIS-074"/>
    <s v="CUS-00086"/>
    <x v="1"/>
    <x v="1"/>
    <n v="18"/>
    <s v="Fiction"/>
    <n v="9"/>
    <s v="Standard Order"/>
    <s v="Standard"/>
    <n v="28.53"/>
    <n v="256.77"/>
    <x v="1"/>
    <n v="6"/>
    <s v="Discount"/>
    <s v="TEACHER20"/>
    <n v="0.2"/>
    <n v="205.416"/>
  </r>
  <r>
    <n v="100003"/>
    <s v="HIS-035"/>
    <s v="HIS"/>
    <s v="035"/>
    <s v="HIS-035"/>
    <s v="CUS-00007"/>
    <x v="0"/>
    <x v="1"/>
    <n v="18"/>
    <s v="Fiction"/>
    <n v="3"/>
    <s v="Standard Order"/>
    <s v="Standard"/>
    <n v="13.94"/>
    <n v="41.82"/>
    <x v="1"/>
    <n v="2"/>
    <s v="No Discount"/>
    <m/>
    <m/>
    <n v="41.82"/>
  </r>
  <r>
    <n v="100004"/>
    <s v="SCI-043"/>
    <s v="SCI"/>
    <s v="043"/>
    <s v="SCI-043"/>
    <s v="CUS-00021"/>
    <x v="0"/>
    <x v="2"/>
    <n v="15"/>
    <s v="Fiction"/>
    <n v="1"/>
    <s v="Standard Order"/>
    <s v="Standard"/>
    <n v="30.73"/>
    <n v="30.73"/>
    <x v="2"/>
    <s v="June"/>
    <s v="Discount"/>
    <s v="SUMMER15"/>
    <n v="0.15"/>
    <n v="26.1205"/>
  </r>
  <r>
    <n v="100005"/>
    <s v="HOR-060"/>
    <s v="HOR"/>
    <s v="060"/>
    <s v="HOR-060"/>
    <s v="CUS-00004"/>
    <x v="0"/>
    <x v="3"/>
    <n v="6"/>
    <s v="Fiction"/>
    <n v="1"/>
    <s v="Standard Order"/>
    <s v="Standard"/>
    <n v="11.14"/>
    <n v="11.14"/>
    <x v="3"/>
    <s v="Jun"/>
    <s v="No Discount"/>
    <m/>
    <m/>
    <n v="11.14"/>
  </r>
  <r>
    <n v="100006"/>
    <s v="MYS-066"/>
    <s v="MYS"/>
    <s v="066"/>
    <s v="MYS-066"/>
    <s v="CUS-00007"/>
    <x v="2"/>
    <x v="4"/>
    <n v="7"/>
    <s v="Fiction"/>
    <n v="1"/>
    <s v="Standard Order"/>
    <s v="Standard"/>
    <n v="31.83"/>
    <n v="31.83"/>
    <x v="3"/>
    <s v="Thu"/>
    <s v="No Discount"/>
    <m/>
    <m/>
    <n v="31.83"/>
  </r>
  <r>
    <n v="100007"/>
    <s v="THR-036"/>
    <s v="THR"/>
    <s v="036"/>
    <s v="THR-036"/>
    <s v="CUS-00044"/>
    <x v="1"/>
    <x v="5"/>
    <n v="8"/>
    <s v="Fiction"/>
    <n v="11"/>
    <s v="Large Order"/>
    <s v="Large"/>
    <n v="22.58"/>
    <n v="248.38"/>
    <x v="4"/>
    <s v="Friday"/>
    <s v="Discount"/>
    <s v="READMORE"/>
    <n v="7.4999999999999997E-2"/>
    <n v="229.75149999999999"/>
  </r>
  <r>
    <n v="100008"/>
    <s v="ROM-067"/>
    <s v="ROM"/>
    <s v="067"/>
    <s v="ROM-067"/>
    <s v="CUS-00058"/>
    <x v="1"/>
    <x v="6"/>
    <n v="7"/>
    <s v="Fiction"/>
    <n v="12"/>
    <s v="Large Order"/>
    <s v="Large"/>
    <n v="10.81"/>
    <n v="129.72"/>
    <x v="5"/>
    <m/>
    <s v="No Discount"/>
    <m/>
    <m/>
    <n v="129.72"/>
  </r>
  <r>
    <n v="100009"/>
    <s v="GRN-065"/>
    <s v="GRN"/>
    <s v="065"/>
    <s v="GRN-065"/>
    <s v="CUS-00002"/>
    <x v="0"/>
    <x v="7"/>
    <n v="13"/>
    <s v="Fiction"/>
    <n v="1"/>
    <s v="Standard Order"/>
    <s v="Standard"/>
    <n v="31.84"/>
    <n v="31.84"/>
    <x v="5"/>
    <m/>
    <s v="No Discount"/>
    <m/>
    <m/>
    <n v="31.84"/>
  </r>
  <r>
    <n v="100010"/>
    <s v="ROM-067"/>
    <s v="ROM"/>
    <s v="067"/>
    <s v="ROM-067"/>
    <s v="CUS-00082"/>
    <x v="3"/>
    <x v="6"/>
    <n v="7"/>
    <s v="Fiction"/>
    <n v="1"/>
    <s v="Standard Order"/>
    <s v="Standard"/>
    <n v="33.729999999999997"/>
    <n v="33.729999999999997"/>
    <x v="6"/>
    <m/>
    <s v="No Discount"/>
    <m/>
    <m/>
    <n v="33.729999999999997"/>
  </r>
  <r>
    <n v="100011"/>
    <s v="MYS-014"/>
    <s v="MYS"/>
    <s v="014"/>
    <s v="MYS-014"/>
    <s v="CUS-00029"/>
    <x v="2"/>
    <x v="4"/>
    <n v="7"/>
    <s v="Fiction"/>
    <n v="2"/>
    <s v="Standard Order"/>
    <s v="Standard"/>
    <n v="26.76"/>
    <n v="53.52"/>
    <x v="7"/>
    <m/>
    <s v="No Discount"/>
    <m/>
    <m/>
    <n v="53.52"/>
  </r>
  <r>
    <n v="100012"/>
    <s v="SCI-069"/>
    <s v="SCI"/>
    <s v="069"/>
    <s v="SCI-069"/>
    <s v="CUS-00072"/>
    <x v="1"/>
    <x v="2"/>
    <n v="15"/>
    <s v="Fiction"/>
    <n v="10"/>
    <s v="Large Order"/>
    <s v="Large"/>
    <n v="33.18"/>
    <n v="331.8"/>
    <x v="7"/>
    <m/>
    <s v="No Discount"/>
    <m/>
    <m/>
    <n v="331.8"/>
  </r>
  <r>
    <n v="100013"/>
    <s v="HIS-061"/>
    <s v="HIS"/>
    <s v="061"/>
    <s v="HIS-061"/>
    <s v="CUS-00067"/>
    <x v="4"/>
    <x v="1"/>
    <n v="18"/>
    <s v="Fiction"/>
    <n v="11"/>
    <s v="Large Order"/>
    <s v="Large"/>
    <n v="30.81"/>
    <n v="338.90999999999997"/>
    <x v="8"/>
    <m/>
    <s v="No Discount"/>
    <m/>
    <m/>
    <n v="338.90999999999997"/>
  </r>
  <r>
    <n v="100014"/>
    <s v="BIO-071"/>
    <s v="BIO"/>
    <s v="071"/>
    <s v="BIO-071"/>
    <s v="CUS-00049"/>
    <x v="4"/>
    <x v="8"/>
    <n v="9"/>
    <s v="Nonfiction"/>
    <n v="21"/>
    <s v="Large Order"/>
    <s v="Large"/>
    <n v="14.46"/>
    <n v="303.66000000000003"/>
    <x v="8"/>
    <m/>
    <s v="No Discount"/>
    <m/>
    <m/>
    <n v="303.66000000000003"/>
  </r>
  <r>
    <n v="100015"/>
    <s v="YAD-063"/>
    <s v="YAD"/>
    <s v="063"/>
    <s v="YAD-063"/>
    <s v="CUS-00027"/>
    <x v="2"/>
    <x v="9"/>
    <n v="11"/>
    <s v="Fiction"/>
    <n v="1"/>
    <s v="Standard Order"/>
    <s v="Standard"/>
    <n v="20.420000000000002"/>
    <n v="20.420000000000002"/>
    <x v="9"/>
    <m/>
    <s v="No Discount"/>
    <m/>
    <m/>
    <n v="20.420000000000002"/>
  </r>
  <r>
    <n v="100016"/>
    <s v="YAD-063"/>
    <s v="YAD"/>
    <s v="063"/>
    <s v="YAD-063"/>
    <s v="CUS-00030"/>
    <x v="3"/>
    <x v="9"/>
    <n v="11"/>
    <s v="Fiction"/>
    <n v="3"/>
    <s v="Standard Order"/>
    <s v="Standard"/>
    <n v="23.06"/>
    <n v="69.179999999999993"/>
    <x v="10"/>
    <m/>
    <s v="No Discount"/>
    <m/>
    <m/>
    <n v="69.179999999999993"/>
  </r>
  <r>
    <n v="100017"/>
    <s v="NFC-070"/>
    <s v="NFC"/>
    <s v="070"/>
    <s v="NFC-070"/>
    <s v="CUS-00011"/>
    <x v="0"/>
    <x v="10"/>
    <n v="10"/>
    <s v="Nonfiction"/>
    <n v="2"/>
    <s v="Standard Order"/>
    <s v="Standard"/>
    <n v="31.46"/>
    <n v="62.92"/>
    <x v="10"/>
    <m/>
    <s v="No Discount"/>
    <m/>
    <m/>
    <n v="62.92"/>
  </r>
  <r>
    <n v="100018"/>
    <s v="SLF-064"/>
    <s v="SLF"/>
    <s v="064"/>
    <s v="SLF-064"/>
    <s v="CUS-00004"/>
    <x v="2"/>
    <x v="11"/>
    <n v="9"/>
    <s v="Nonfiction"/>
    <n v="1"/>
    <s v="Standard Order"/>
    <s v="Standard"/>
    <n v="27.37"/>
    <n v="27.37"/>
    <x v="11"/>
    <m/>
    <s v="No Discount"/>
    <m/>
    <m/>
    <n v="27.37"/>
  </r>
  <r>
    <n v="100019"/>
    <s v="MYS-027"/>
    <s v="MYS"/>
    <s v="027"/>
    <s v="MYS-027"/>
    <s v="CUS-00052"/>
    <x v="1"/>
    <x v="4"/>
    <n v="7"/>
    <s v="Fiction"/>
    <n v="10"/>
    <s v="Large Order"/>
    <s v="Large"/>
    <n v="32.28"/>
    <n v="322.8"/>
    <x v="12"/>
    <m/>
    <s v="Discount"/>
    <s v="SUMMER15"/>
    <n v="0.15"/>
    <n v="274.38"/>
  </r>
  <r>
    <n v="100020"/>
    <s v="BIO-071"/>
    <s v="BIO"/>
    <s v="071"/>
    <s v="BIO-071"/>
    <s v="CUS-00041"/>
    <x v="3"/>
    <x v="8"/>
    <n v="9"/>
    <s v="Nonfiction"/>
    <n v="2"/>
    <s v="Standard Order"/>
    <s v="Standard"/>
    <n v="22.48"/>
    <n v="44.96"/>
    <x v="12"/>
    <m/>
    <s v="No Discount"/>
    <m/>
    <m/>
    <n v="44.96"/>
  </r>
  <r>
    <n v="100021"/>
    <s v="ROM-067"/>
    <s v="ROM"/>
    <s v="067"/>
    <s v="ROM-067"/>
    <s v="CUS-00006"/>
    <x v="0"/>
    <x v="6"/>
    <n v="7"/>
    <s v="Fiction"/>
    <n v="1"/>
    <s v="Standard Order"/>
    <s v="Standard"/>
    <n v="31.66"/>
    <n v="31.66"/>
    <x v="13"/>
    <m/>
    <s v="No Discount"/>
    <m/>
    <m/>
    <n v="31.66"/>
  </r>
  <r>
    <n v="100022"/>
    <s v="NFC-031"/>
    <s v="NFC"/>
    <s v="031"/>
    <s v="NFC-031"/>
    <s v="CUS-00069"/>
    <x v="4"/>
    <x v="10"/>
    <n v="10"/>
    <s v="Nonfiction"/>
    <n v="16"/>
    <s v="Large Order"/>
    <s v="Large"/>
    <n v="28.75"/>
    <n v="460"/>
    <x v="14"/>
    <m/>
    <s v="Discount"/>
    <s v="SUMMER15"/>
    <n v="0.15"/>
    <n v="391"/>
  </r>
  <r>
    <n v="100023"/>
    <s v="BIO-058"/>
    <s v="BIO"/>
    <s v="058"/>
    <s v="BIO-058"/>
    <s v="CUS-00063"/>
    <x v="4"/>
    <x v="8"/>
    <n v="9"/>
    <s v="Nonfiction"/>
    <n v="8"/>
    <s v="Standard Order"/>
    <s v="Standard"/>
    <n v="21.54"/>
    <n v="172.32"/>
    <x v="14"/>
    <m/>
    <s v="No Discount"/>
    <m/>
    <m/>
    <n v="172.32"/>
  </r>
  <r>
    <n v="100024"/>
    <s v="BIO-071"/>
    <s v="BIO"/>
    <s v="071"/>
    <s v="BIO-071"/>
    <s v="CUS-00031"/>
    <x v="2"/>
    <x v="8"/>
    <n v="9"/>
    <s v="Nonfiction"/>
    <n v="2"/>
    <s v="Standard Order"/>
    <s v="Standard"/>
    <n v="33.520000000000003"/>
    <n v="67.040000000000006"/>
    <x v="15"/>
    <m/>
    <s v="No Discount"/>
    <m/>
    <m/>
    <n v="67.040000000000006"/>
  </r>
  <r>
    <n v="100025"/>
    <s v="POE-072"/>
    <s v="POE"/>
    <s v="072"/>
    <s v="POE-072"/>
    <s v="CUS-00068"/>
    <x v="2"/>
    <x v="12"/>
    <n v="6"/>
    <s v="Nonfiction"/>
    <n v="3"/>
    <s v="Standard Order"/>
    <s v="Standard"/>
    <n v="34.17"/>
    <n v="102.51"/>
    <x v="16"/>
    <m/>
    <s v="No Discount"/>
    <m/>
    <m/>
    <n v="102.51"/>
  </r>
  <r>
    <n v="100026"/>
    <s v="SCI-056"/>
    <s v="SCI"/>
    <s v="056"/>
    <s v="SCI-056"/>
    <s v="CUS-00011"/>
    <x v="2"/>
    <x v="2"/>
    <n v="15"/>
    <s v="Fiction"/>
    <n v="11"/>
    <s v="Large Order"/>
    <s v="Large"/>
    <n v="30.61"/>
    <n v="336.71"/>
    <x v="16"/>
    <m/>
    <s v="No Discount"/>
    <m/>
    <m/>
    <n v="336.71"/>
  </r>
  <r>
    <n v="100027"/>
    <s v="NFC-057"/>
    <s v="NFC"/>
    <s v="057"/>
    <s v="NFC-057"/>
    <s v="CUS-00087"/>
    <x v="1"/>
    <x v="10"/>
    <n v="10"/>
    <s v="Nonfiction"/>
    <n v="6"/>
    <s v="Standard Order"/>
    <s v="Standard"/>
    <n v="9.89"/>
    <n v="59.34"/>
    <x v="17"/>
    <m/>
    <s v="No Discount"/>
    <m/>
    <m/>
    <n v="59.34"/>
  </r>
  <r>
    <n v="100028"/>
    <s v="POE-007"/>
    <s v="POE"/>
    <s v="007"/>
    <s v="POE-007"/>
    <s v="CUS-00069"/>
    <x v="4"/>
    <x v="12"/>
    <n v="6"/>
    <s v="Nonfiction"/>
    <n v="20"/>
    <s v="Large Order"/>
    <s v="Large"/>
    <n v="33.96"/>
    <n v="679.2"/>
    <x v="18"/>
    <m/>
    <s v="No Discount"/>
    <m/>
    <m/>
    <n v="679.2"/>
  </r>
  <r>
    <n v="100029"/>
    <s v="THR-075"/>
    <s v="THR"/>
    <s v="075"/>
    <s v="THR-075"/>
    <s v="CUS-00031"/>
    <x v="2"/>
    <x v="5"/>
    <n v="8"/>
    <s v="Fiction"/>
    <n v="2"/>
    <s v="Standard Order"/>
    <s v="Standard"/>
    <n v="17.260000000000002"/>
    <n v="34.520000000000003"/>
    <x v="18"/>
    <m/>
    <s v="Discount"/>
    <s v="READMORE"/>
    <n v="7.4999999999999997E-2"/>
    <n v="31.931000000000004"/>
  </r>
  <r>
    <n v="100030"/>
    <s v="SCI-069"/>
    <s v="SCI"/>
    <s v="069"/>
    <s v="SCI-069"/>
    <s v="CUS-00063"/>
    <x v="4"/>
    <x v="2"/>
    <n v="15"/>
    <s v="Fiction"/>
    <n v="79"/>
    <s v="Large Order"/>
    <s v="Bulk"/>
    <n v="14.89"/>
    <n v="1176.31"/>
    <x v="19"/>
    <m/>
    <s v="No Discount"/>
    <m/>
    <m/>
    <n v="1176.31"/>
  </r>
  <r>
    <n v="100031"/>
    <s v="POE-072"/>
    <s v="POE"/>
    <s v="072"/>
    <s v="POE-072"/>
    <s v="CUS-00051"/>
    <x v="1"/>
    <x v="12"/>
    <n v="6"/>
    <s v="Nonfiction"/>
    <n v="12"/>
    <s v="Large Order"/>
    <s v="Large"/>
    <n v="24.15"/>
    <n v="289.79999999999995"/>
    <x v="20"/>
    <m/>
    <s v="No Discount"/>
    <m/>
    <m/>
    <n v="289.79999999999995"/>
  </r>
  <r>
    <n v="100032"/>
    <s v="POE-020"/>
    <s v="POE"/>
    <s v="020"/>
    <s v="POE-020"/>
    <s v="CUS-00067"/>
    <x v="4"/>
    <x v="12"/>
    <n v="6"/>
    <s v="Nonfiction"/>
    <n v="13"/>
    <s v="Large Order"/>
    <s v="Large"/>
    <n v="12.45"/>
    <n v="161.85"/>
    <x v="20"/>
    <m/>
    <s v="Discount"/>
    <s v="SUMMER15"/>
    <n v="0.15"/>
    <n v="137.57249999999999"/>
  </r>
  <r>
    <n v="100033"/>
    <s v="HIS-022"/>
    <s v="HIS"/>
    <s v="022"/>
    <s v="HIS-022"/>
    <s v="CUS-00071"/>
    <x v="1"/>
    <x v="1"/>
    <n v="18"/>
    <s v="Fiction"/>
    <n v="4"/>
    <s v="Standard Order"/>
    <s v="Standard"/>
    <n v="31.53"/>
    <n v="126.12"/>
    <x v="21"/>
    <m/>
    <s v="No Discount"/>
    <m/>
    <m/>
    <n v="126.12"/>
  </r>
  <r>
    <n v="100034"/>
    <s v="MYS-040"/>
    <s v="MYS"/>
    <s v="040"/>
    <s v="MYS-040"/>
    <s v="CUS-00082"/>
    <x v="3"/>
    <x v="4"/>
    <n v="7"/>
    <s v="Fiction"/>
    <n v="7"/>
    <s v="Standard Order"/>
    <s v="Standard"/>
    <n v="15.54"/>
    <n v="108.78"/>
    <x v="22"/>
    <m/>
    <s v="No Discount"/>
    <m/>
    <m/>
    <n v="108.78"/>
  </r>
  <r>
    <n v="100035"/>
    <s v="MYS-053"/>
    <s v="MYS"/>
    <s v="053"/>
    <s v="MYS-053"/>
    <s v="CUS-00002"/>
    <x v="2"/>
    <x v="4"/>
    <n v="7"/>
    <s v="Fiction"/>
    <n v="3"/>
    <s v="Standard Order"/>
    <s v="Standard"/>
    <n v="26.09"/>
    <n v="78.27"/>
    <x v="22"/>
    <m/>
    <s v="No Discount"/>
    <m/>
    <m/>
    <n v="78.27"/>
  </r>
  <r>
    <n v="100036"/>
    <s v="GRN-052"/>
    <s v="GRN"/>
    <s v="052"/>
    <s v="GRN-052"/>
    <s v="CUS-00005"/>
    <x v="0"/>
    <x v="7"/>
    <n v="13"/>
    <s v="Fiction"/>
    <n v="2"/>
    <s v="Standard Order"/>
    <s v="Standard"/>
    <n v="8.99"/>
    <n v="17.98"/>
    <x v="23"/>
    <m/>
    <s v="No Discount"/>
    <m/>
    <m/>
    <n v="17.98"/>
  </r>
  <r>
    <n v="100037"/>
    <s v="HOR-034"/>
    <s v="HOR"/>
    <s v="034"/>
    <s v="HOR-034"/>
    <s v="CUS-00041"/>
    <x v="3"/>
    <x v="3"/>
    <n v="6"/>
    <s v="Fiction"/>
    <n v="1"/>
    <s v="Standard Order"/>
    <s v="Standard"/>
    <n v="19.55"/>
    <n v="19.55"/>
    <x v="24"/>
    <m/>
    <s v="No Discount"/>
    <m/>
    <m/>
    <n v="19.55"/>
  </r>
  <r>
    <n v="100038"/>
    <s v="BIO-045"/>
    <s v="BIO"/>
    <s v="045"/>
    <s v="BIO-045"/>
    <s v="CUS-00002"/>
    <x v="2"/>
    <x v="8"/>
    <n v="9"/>
    <s v="Nonfiction"/>
    <n v="1"/>
    <s v="Standard Order"/>
    <s v="Standard"/>
    <n v="27.83"/>
    <n v="27.83"/>
    <x v="24"/>
    <m/>
    <s v="No Discount"/>
    <m/>
    <m/>
    <n v="27.83"/>
  </r>
  <r>
    <n v="100039"/>
    <s v="GRN-065"/>
    <s v="GRN"/>
    <s v="065"/>
    <s v="GRN-065"/>
    <s v="CUS-00081"/>
    <x v="2"/>
    <x v="7"/>
    <n v="13"/>
    <s v="Fiction"/>
    <n v="7"/>
    <s v="Standard Order"/>
    <s v="Standard"/>
    <n v="10.32"/>
    <n v="72.240000000000009"/>
    <x v="25"/>
    <m/>
    <s v="No Discount"/>
    <m/>
    <m/>
    <n v="72.240000000000009"/>
  </r>
  <r>
    <n v="100040"/>
    <s v="FAN-055"/>
    <s v="FAN"/>
    <s v="055"/>
    <s v="FAN-055"/>
    <s v="CUS-00023"/>
    <x v="0"/>
    <x v="0"/>
    <n v="7"/>
    <s v="Fiction"/>
    <n v="1"/>
    <s v="Standard Order"/>
    <s v="Standard"/>
    <n v="20.65"/>
    <n v="20.65"/>
    <x v="25"/>
    <m/>
    <s v="No Discount"/>
    <m/>
    <m/>
    <n v="20.65"/>
  </r>
  <r>
    <n v="100041"/>
    <s v="MYS-066"/>
    <s v="MYS"/>
    <s v="066"/>
    <s v="MYS-066"/>
    <s v="CUS-00056"/>
    <x v="1"/>
    <x v="4"/>
    <n v="7"/>
    <s v="Fiction"/>
    <n v="8"/>
    <s v="Standard Order"/>
    <s v="Standard"/>
    <n v="17.11"/>
    <n v="136.88"/>
    <x v="26"/>
    <m/>
    <s v="Discount"/>
    <s v="TEACHER20"/>
    <n v="0.2"/>
    <n v="109.504"/>
  </r>
  <r>
    <n v="100042"/>
    <s v="NFC-057"/>
    <s v="NFC"/>
    <s v="057"/>
    <s v="NFC-057"/>
    <s v="CUS-00015"/>
    <x v="0"/>
    <x v="10"/>
    <n v="10"/>
    <s v="Nonfiction"/>
    <n v="11"/>
    <s v="Large Order"/>
    <s v="Large"/>
    <n v="29.85"/>
    <n v="328.35"/>
    <x v="27"/>
    <m/>
    <s v="No Discount"/>
    <m/>
    <m/>
    <n v="328.35"/>
  </r>
  <r>
    <n v="100043"/>
    <s v="ROM-067"/>
    <s v="ROM"/>
    <s v="067"/>
    <s v="ROM-067"/>
    <s v="CUS-00088"/>
    <x v="2"/>
    <x v="6"/>
    <n v="7"/>
    <s v="Fiction"/>
    <n v="1"/>
    <s v="Standard Order"/>
    <s v="Standard"/>
    <n v="24.12"/>
    <n v="24.12"/>
    <x v="27"/>
    <m/>
    <s v="No Discount"/>
    <m/>
    <m/>
    <n v="24.12"/>
  </r>
  <r>
    <n v="100044"/>
    <s v="GRN-039"/>
    <s v="GRN"/>
    <s v="039"/>
    <s v="GRN-039"/>
    <s v="CUS-00050"/>
    <x v="1"/>
    <x v="7"/>
    <n v="13"/>
    <s v="Fiction"/>
    <n v="4"/>
    <s v="Standard Order"/>
    <s v="Standard"/>
    <n v="30.18"/>
    <n v="120.72"/>
    <x v="28"/>
    <m/>
    <s v="Discount"/>
    <s v="BOOKCLUB"/>
    <n v="0.2"/>
    <n v="96.576000000000008"/>
  </r>
  <r>
    <n v="100045"/>
    <s v="MYS-053"/>
    <s v="MYS"/>
    <s v="053"/>
    <s v="MYS-053"/>
    <s v="CUS-00062"/>
    <x v="3"/>
    <x v="4"/>
    <n v="7"/>
    <s v="Fiction"/>
    <n v="1"/>
    <s v="Standard Order"/>
    <s v="Standard"/>
    <n v="32.61"/>
    <n v="32.61"/>
    <x v="29"/>
    <m/>
    <s v="No Discount"/>
    <m/>
    <m/>
    <n v="32.61"/>
  </r>
  <r>
    <n v="100046"/>
    <s v="YAD-037"/>
    <s v="YAD"/>
    <s v="037"/>
    <s v="YAD-037"/>
    <s v="CUS-00031"/>
    <x v="2"/>
    <x v="9"/>
    <n v="11"/>
    <s v="Fiction"/>
    <n v="2"/>
    <s v="Standard Order"/>
    <s v="Standard"/>
    <n v="9.68"/>
    <n v="19.36"/>
    <x v="29"/>
    <m/>
    <s v="No Discount"/>
    <m/>
    <m/>
    <n v="19.36"/>
  </r>
  <r>
    <n v="100047"/>
    <s v="SCI-056"/>
    <s v="SCI"/>
    <s v="056"/>
    <s v="SCI-056"/>
    <s v="CUS-00089"/>
    <x v="2"/>
    <x v="2"/>
    <n v="15"/>
    <s v="Fiction"/>
    <n v="2"/>
    <s v="Standard Order"/>
    <s v="Standard"/>
    <n v="22.95"/>
    <n v="45.9"/>
    <x v="30"/>
    <m/>
    <s v="No Discount"/>
    <m/>
    <m/>
    <n v="45.9"/>
  </r>
  <r>
    <n v="100048"/>
    <s v="HIS-074"/>
    <s v="HIS"/>
    <s v="074"/>
    <s v="HIS-074"/>
    <s v="CUS-00023"/>
    <x v="2"/>
    <x v="1"/>
    <n v="18"/>
    <s v="Fiction"/>
    <n v="2"/>
    <s v="Standard Order"/>
    <s v="Standard"/>
    <n v="21.7"/>
    <n v="43.4"/>
    <x v="31"/>
    <m/>
    <s v="No Discount"/>
    <m/>
    <m/>
    <n v="43.4"/>
  </r>
  <r>
    <n v="100049"/>
    <s v="BIO-006"/>
    <s v="BIO"/>
    <s v="006"/>
    <s v="BIO-006"/>
    <s v="CUS-00016"/>
    <x v="0"/>
    <x v="8"/>
    <n v="9"/>
    <s v="Nonfiction"/>
    <n v="2"/>
    <s v="Standard Order"/>
    <s v="Standard"/>
    <n v="14.99"/>
    <n v="29.98"/>
    <x v="31"/>
    <m/>
    <s v="No Discount"/>
    <m/>
    <m/>
    <n v="29.98"/>
  </r>
  <r>
    <n v="100050"/>
    <s v="THR-062"/>
    <s v="THR"/>
    <s v="062"/>
    <s v="THR-062"/>
    <s v="CUS-00079"/>
    <x v="3"/>
    <x v="5"/>
    <n v="8"/>
    <s v="Fiction"/>
    <n v="1"/>
    <s v="Standard Order"/>
    <s v="Standard"/>
    <n v="10.85"/>
    <n v="10.85"/>
    <x v="32"/>
    <m/>
    <s v="No Discount"/>
    <m/>
    <m/>
    <n v="10.85"/>
  </r>
  <r>
    <n v="100051"/>
    <s v="HIS-061"/>
    <s v="HIS"/>
    <s v="061"/>
    <s v="HIS-061"/>
    <s v="CUS-00024"/>
    <x v="0"/>
    <x v="1"/>
    <n v="18"/>
    <s v="Fiction"/>
    <n v="1"/>
    <s v="Standard Order"/>
    <s v="Standard"/>
    <n v="9.42"/>
    <n v="9.42"/>
    <x v="33"/>
    <m/>
    <s v="No Discount"/>
    <m/>
    <m/>
    <n v="9.42"/>
  </r>
  <r>
    <n v="100052"/>
    <s v="ROM-067"/>
    <s v="ROM"/>
    <s v="067"/>
    <s v="ROM-067"/>
    <s v="CUS-00049"/>
    <x v="4"/>
    <x v="6"/>
    <n v="7"/>
    <s v="Fiction"/>
    <n v="6"/>
    <s v="Standard Order"/>
    <s v="Standard"/>
    <n v="17.100000000000001"/>
    <n v="102.60000000000001"/>
    <x v="33"/>
    <m/>
    <s v="No Discount"/>
    <m/>
    <m/>
    <n v="102.60000000000001"/>
  </r>
  <r>
    <n v="100053"/>
    <s v="FAN-042"/>
    <s v="FAN"/>
    <s v="042"/>
    <s v="FAN-042"/>
    <s v="CUS-00066"/>
    <x v="3"/>
    <x v="0"/>
    <n v="7"/>
    <s v="Fiction"/>
    <n v="2"/>
    <s v="Standard Order"/>
    <s v="Standard"/>
    <n v="31.64"/>
    <n v="63.28"/>
    <x v="34"/>
    <m/>
    <s v="No Discount"/>
    <m/>
    <m/>
    <n v="63.28"/>
  </r>
  <r>
    <n v="100054"/>
    <s v="HOR-021"/>
    <s v="HOR"/>
    <s v="021"/>
    <s v="HOR-021"/>
    <s v="CUS-00031"/>
    <x v="2"/>
    <x v="3"/>
    <n v="6"/>
    <s v="Fiction"/>
    <n v="1"/>
    <s v="Standard Order"/>
    <s v="Standard"/>
    <n v="13.96"/>
    <n v="13.96"/>
    <x v="35"/>
    <m/>
    <s v="Discount"/>
    <s v="SUMMER15"/>
    <n v="0.15"/>
    <n v="11.866"/>
  </r>
  <r>
    <n v="100055"/>
    <s v="HOR-060"/>
    <s v="HOR"/>
    <s v="060"/>
    <s v="HOR-060"/>
    <s v="CUS-00059"/>
    <x v="1"/>
    <x v="3"/>
    <n v="6"/>
    <s v="Fiction"/>
    <n v="12"/>
    <s v="Large Order"/>
    <s v="Large"/>
    <n v="17.43"/>
    <n v="209.16"/>
    <x v="35"/>
    <m/>
    <s v="No Discount"/>
    <m/>
    <m/>
    <n v="209.16"/>
  </r>
  <r>
    <n v="100056"/>
    <s v="HIS-061"/>
    <s v="HIS"/>
    <s v="061"/>
    <s v="HIS-061"/>
    <s v="CUS-00047"/>
    <x v="1"/>
    <x v="1"/>
    <n v="18"/>
    <s v="Fiction"/>
    <n v="5"/>
    <s v="Standard Order"/>
    <s v="Standard"/>
    <n v="10.95"/>
    <n v="54.75"/>
    <x v="36"/>
    <m/>
    <s v="No Discount"/>
    <m/>
    <m/>
    <n v="54.75"/>
  </r>
  <r>
    <n v="100057"/>
    <s v="YAD-024"/>
    <s v="YAD"/>
    <s v="024"/>
    <s v="YAD-024"/>
    <s v="CUS-00052"/>
    <x v="1"/>
    <x v="9"/>
    <n v="11"/>
    <s v="Fiction"/>
    <n v="8"/>
    <s v="Standard Order"/>
    <s v="Standard"/>
    <n v="25.99"/>
    <n v="207.92"/>
    <x v="37"/>
    <m/>
    <s v="No Discount"/>
    <m/>
    <m/>
    <n v="207.92"/>
  </r>
  <r>
    <n v="100058"/>
    <s v="FAN-068"/>
    <s v="FAN"/>
    <s v="068"/>
    <s v="FAN-068"/>
    <s v="CUS-00046"/>
    <x v="3"/>
    <x v="0"/>
    <n v="7"/>
    <s v="Fiction"/>
    <n v="2"/>
    <s v="Standard Order"/>
    <s v="Standard"/>
    <n v="31.52"/>
    <n v="63.04"/>
    <x v="37"/>
    <m/>
    <s v="No Discount"/>
    <m/>
    <m/>
    <n v="63.04"/>
  </r>
  <r>
    <n v="100059"/>
    <s v="ROM-015"/>
    <s v="ROM"/>
    <s v="015"/>
    <s v="ROM-015"/>
    <s v="CUS-00037"/>
    <x v="1"/>
    <x v="6"/>
    <n v="7"/>
    <s v="Fiction"/>
    <n v="11"/>
    <s v="Large Order"/>
    <s v="Large"/>
    <n v="15.91"/>
    <n v="175.01"/>
    <x v="38"/>
    <m/>
    <s v="Discount"/>
    <s v="READMORE"/>
    <n v="7.4999999999999997E-2"/>
    <n v="161.88425000000001"/>
  </r>
  <r>
    <n v="100060"/>
    <s v="POE-059"/>
    <s v="POE"/>
    <s v="059"/>
    <s v="POE-059"/>
    <s v="CUS-00041"/>
    <x v="3"/>
    <x v="12"/>
    <n v="6"/>
    <s v="Nonfiction"/>
    <n v="1"/>
    <s v="Standard Order"/>
    <s v="Standard"/>
    <n v="10.28"/>
    <n v="10.28"/>
    <x v="39"/>
    <m/>
    <s v="No Discount"/>
    <m/>
    <m/>
    <n v="10.28"/>
  </r>
  <r>
    <n v="100061"/>
    <s v="ROM-054"/>
    <s v="ROM"/>
    <s v="054"/>
    <s v="ROM-054"/>
    <s v="CUS-00027"/>
    <x v="2"/>
    <x v="6"/>
    <n v="7"/>
    <s v="Fiction"/>
    <n v="1"/>
    <s v="Standard Order"/>
    <s v="Standard"/>
    <n v="10.06"/>
    <n v="10.06"/>
    <x v="39"/>
    <m/>
    <s v="No Discount"/>
    <m/>
    <m/>
    <n v="10.06"/>
  </r>
  <r>
    <n v="100062"/>
    <s v="FAN-068"/>
    <s v="FAN"/>
    <s v="068"/>
    <s v="FAN-068"/>
    <s v="CUS-00085"/>
    <x v="4"/>
    <x v="0"/>
    <n v="7"/>
    <s v="Fiction"/>
    <n v="14"/>
    <s v="Large Order"/>
    <s v="Large"/>
    <n v="26.77"/>
    <n v="374.78"/>
    <x v="40"/>
    <m/>
    <s v="No Discount"/>
    <m/>
    <m/>
    <n v="374.78"/>
  </r>
  <r>
    <n v="100063"/>
    <s v="POE-046"/>
    <s v="POE"/>
    <s v="046"/>
    <s v="POE-046"/>
    <s v="CUS-00005"/>
    <x v="2"/>
    <x v="12"/>
    <n v="6"/>
    <s v="Nonfiction"/>
    <n v="1"/>
    <s v="Standard Order"/>
    <s v="Standard"/>
    <n v="27.15"/>
    <n v="27.15"/>
    <x v="41"/>
    <m/>
    <s v="No Discount"/>
    <m/>
    <m/>
    <n v="27.15"/>
  </r>
  <r>
    <n v="100064"/>
    <s v="THR-075"/>
    <s v="THR"/>
    <s v="075"/>
    <s v="THR-075"/>
    <s v="CUS-00086"/>
    <x v="1"/>
    <x v="5"/>
    <n v="8"/>
    <s v="Fiction"/>
    <n v="4"/>
    <s v="Standard Order"/>
    <s v="Standard"/>
    <n v="12.53"/>
    <n v="50.12"/>
    <x v="41"/>
    <m/>
    <s v="No Discount"/>
    <m/>
    <m/>
    <n v="50.12"/>
  </r>
  <r>
    <n v="100065"/>
    <s v="FAN-042"/>
    <s v="FAN"/>
    <s v="042"/>
    <s v="FAN-042"/>
    <s v="CUS-00021"/>
    <x v="2"/>
    <x v="0"/>
    <n v="7"/>
    <s v="Fiction"/>
    <n v="1"/>
    <s v="Standard Order"/>
    <s v="Standard"/>
    <n v="9.67"/>
    <n v="9.67"/>
    <x v="42"/>
    <m/>
    <s v="Discount"/>
    <s v="TEACHER20"/>
    <n v="0.2"/>
    <n v="7.7360000000000007"/>
  </r>
  <r>
    <n v="100066"/>
    <s v="YAD-063"/>
    <s v="YAD"/>
    <s v="063"/>
    <s v="YAD-063"/>
    <s v="CUS-00034"/>
    <x v="3"/>
    <x v="9"/>
    <n v="11"/>
    <s v="Fiction"/>
    <n v="1"/>
    <s v="Standard Order"/>
    <s v="Standard"/>
    <n v="14.03"/>
    <n v="14.03"/>
    <x v="42"/>
    <m/>
    <s v="No Discount"/>
    <m/>
    <m/>
    <n v="14.03"/>
  </r>
  <r>
    <n v="100067"/>
    <s v="HOR-073"/>
    <s v="HOR"/>
    <s v="073"/>
    <s v="HOR-073"/>
    <s v="CUS-00078"/>
    <x v="2"/>
    <x v="3"/>
    <n v="6"/>
    <s v="Fiction"/>
    <n v="2"/>
    <s v="Standard Order"/>
    <s v="Standard"/>
    <n v="20.149999999999999"/>
    <n v="40.299999999999997"/>
    <x v="43"/>
    <m/>
    <s v="No Discount"/>
    <m/>
    <m/>
    <n v="40.299999999999997"/>
  </r>
  <r>
    <n v="100068"/>
    <s v="HIS-061"/>
    <s v="HIS"/>
    <s v="061"/>
    <s v="HIS-061"/>
    <s v="CUS-00030"/>
    <x v="3"/>
    <x v="1"/>
    <n v="18"/>
    <s v="Fiction"/>
    <n v="1"/>
    <s v="Standard Order"/>
    <s v="Standard"/>
    <n v="25.99"/>
    <n v="25.99"/>
    <x v="44"/>
    <m/>
    <s v="No Discount"/>
    <m/>
    <m/>
    <n v="25.99"/>
  </r>
  <r>
    <n v="100069"/>
    <s v="NFC-070"/>
    <s v="NFC"/>
    <s v="070"/>
    <s v="NFC-070"/>
    <s v="CUS-00080"/>
    <x v="4"/>
    <x v="10"/>
    <n v="10"/>
    <s v="Nonfiction"/>
    <n v="10"/>
    <s v="Large Order"/>
    <s v="Large"/>
    <n v="34.64"/>
    <n v="346.4"/>
    <x v="44"/>
    <m/>
    <s v="Discount"/>
    <s v="TEACHER20"/>
    <n v="0.2"/>
    <n v="277.12"/>
  </r>
  <r>
    <n v="100070"/>
    <s v="HIS-074"/>
    <s v="HIS"/>
    <s v="074"/>
    <s v="HIS-074"/>
    <s v="CUS-00034"/>
    <x v="3"/>
    <x v="1"/>
    <n v="18"/>
    <s v="Fiction"/>
    <n v="1"/>
    <s v="Standard Order"/>
    <s v="Standard"/>
    <n v="12.49"/>
    <n v="12.49"/>
    <x v="45"/>
    <m/>
    <s v="No Discount"/>
    <m/>
    <m/>
    <n v="12.49"/>
  </r>
  <r>
    <n v="100071"/>
    <s v="NFC-005"/>
    <s v="NFC"/>
    <s v="005"/>
    <s v="NFC-005"/>
    <s v="CUS-00030"/>
    <x v="3"/>
    <x v="10"/>
    <n v="10"/>
    <s v="Nonfiction"/>
    <n v="1"/>
    <s v="Standard Order"/>
    <s v="Standard"/>
    <n v="26.04"/>
    <n v="26.04"/>
    <x v="46"/>
    <m/>
    <s v="Discount"/>
    <s v="TEACHER20"/>
    <n v="0.2"/>
    <n v="20.832000000000001"/>
  </r>
  <r>
    <n v="100072"/>
    <s v="SLF-064"/>
    <s v="SLF"/>
    <s v="064"/>
    <s v="SLF-064"/>
    <s v="CUS-00005"/>
    <x v="2"/>
    <x v="11"/>
    <n v="9"/>
    <s v="Nonfiction"/>
    <n v="1"/>
    <s v="Standard Order"/>
    <s v="Standard"/>
    <n v="19.149999999999999"/>
    <n v="19.149999999999999"/>
    <x v="46"/>
    <m/>
    <s v="No Discount"/>
    <m/>
    <m/>
    <n v="19.149999999999999"/>
  </r>
  <r>
    <n v="100073"/>
    <s v="GRN-039"/>
    <s v="GRN"/>
    <s v="039"/>
    <s v="GRN-039"/>
    <s v="CUS-00080"/>
    <x v="4"/>
    <x v="7"/>
    <n v="13"/>
    <s v="Fiction"/>
    <n v="12"/>
    <s v="Large Order"/>
    <s v="Large"/>
    <n v="25.3"/>
    <n v="303.60000000000002"/>
    <x v="47"/>
    <m/>
    <s v="Discount"/>
    <s v="SUMMER10"/>
    <n v="0.1"/>
    <n v="273.24"/>
  </r>
  <r>
    <n v="100074"/>
    <s v="HOR-047"/>
    <s v="HOR"/>
    <s v="047"/>
    <s v="HOR-047"/>
    <s v="CUS-00090"/>
    <x v="4"/>
    <x v="3"/>
    <n v="6"/>
    <s v="Fiction"/>
    <n v="16"/>
    <s v="Large Order"/>
    <s v="Large"/>
    <n v="18.690000000000001"/>
    <n v="299.04000000000002"/>
    <x v="48"/>
    <m/>
    <s v="No Discount"/>
    <m/>
    <m/>
    <n v="299.04000000000002"/>
  </r>
  <r>
    <n v="100075"/>
    <s v="HIS-048"/>
    <s v="HIS"/>
    <s v="048"/>
    <s v="HIS-048"/>
    <s v="CUS-00022"/>
    <x v="2"/>
    <x v="1"/>
    <n v="18"/>
    <s v="Fiction"/>
    <n v="1"/>
    <s v="Standard Order"/>
    <s v="Standard"/>
    <n v="11.4"/>
    <n v="11.4"/>
    <x v="48"/>
    <m/>
    <s v="No Discount"/>
    <m/>
    <m/>
    <n v="11.4"/>
  </r>
  <r>
    <n v="100076"/>
    <s v="GRN-052"/>
    <s v="GRN"/>
    <s v="052"/>
    <s v="GRN-052"/>
    <s v="CUS-00033"/>
    <x v="2"/>
    <x v="7"/>
    <n v="13"/>
    <s v="Fiction"/>
    <n v="2"/>
    <s v="Standard Order"/>
    <s v="Standard"/>
    <n v="28.31"/>
    <n v="56.62"/>
    <x v="49"/>
    <m/>
    <s v="No Discount"/>
    <m/>
    <m/>
    <n v="56.62"/>
  </r>
  <r>
    <n v="100077"/>
    <s v="BIO-071"/>
    <s v="BIO"/>
    <s v="071"/>
    <s v="BIO-071"/>
    <s v="CUS-00007"/>
    <x v="2"/>
    <x v="8"/>
    <n v="9"/>
    <s v="Nonfiction"/>
    <n v="2"/>
    <s v="Standard Order"/>
    <s v="Standard"/>
    <n v="18.95"/>
    <n v="37.9"/>
    <x v="50"/>
    <m/>
    <s v="Discount"/>
    <s v="TEACHER20"/>
    <n v="0.2"/>
    <n v="30.32"/>
  </r>
  <r>
    <n v="100078"/>
    <s v="YAD-050"/>
    <s v="YAD"/>
    <s v="050"/>
    <s v="YAD-050"/>
    <s v="CUS-00005"/>
    <x v="2"/>
    <x v="9"/>
    <n v="11"/>
    <s v="Fiction"/>
    <n v="2"/>
    <s v="Standard Order"/>
    <s v="Standard"/>
    <n v="32.86"/>
    <n v="65.72"/>
    <x v="50"/>
    <m/>
    <s v="No Discount"/>
    <m/>
    <m/>
    <n v="65.72"/>
  </r>
  <r>
    <n v="100079"/>
    <s v="SCI-069"/>
    <s v="SCI"/>
    <s v="069"/>
    <s v="SCI-069"/>
    <s v="CUS-00048"/>
    <x v="3"/>
    <x v="2"/>
    <n v="15"/>
    <s v="Fiction"/>
    <n v="1"/>
    <s v="Standard Order"/>
    <s v="Standard"/>
    <n v="26.8"/>
    <n v="26.8"/>
    <x v="51"/>
    <m/>
    <s v="No Discount"/>
    <m/>
    <m/>
    <n v="26.8"/>
  </r>
  <r>
    <n v="100080"/>
    <s v="YAD-011"/>
    <s v="YAD"/>
    <s v="011"/>
    <s v="YAD-011"/>
    <s v="CUS-00055"/>
    <x v="1"/>
    <x v="9"/>
    <n v="11"/>
    <s v="Fiction"/>
    <n v="10"/>
    <s v="Large Order"/>
    <s v="Large"/>
    <n v="34.119999999999997"/>
    <n v="341.2"/>
    <x v="52"/>
    <m/>
    <s v="No Discount"/>
    <m/>
    <m/>
    <n v="341.2"/>
  </r>
  <r>
    <n v="100081"/>
    <s v="POE-072"/>
    <s v="POE"/>
    <s v="072"/>
    <s v="POE-072"/>
    <s v="CUS-00080"/>
    <x v="4"/>
    <x v="12"/>
    <n v="6"/>
    <s v="Nonfiction"/>
    <n v="25"/>
    <s v="Large Order"/>
    <s v="Bulk"/>
    <n v="30.11"/>
    <n v="752.75"/>
    <x v="52"/>
    <m/>
    <s v="No Discount"/>
    <m/>
    <m/>
    <n v="752.75"/>
  </r>
  <r>
    <n v="100082"/>
    <s v="SLF-038"/>
    <s v="SLF"/>
    <s v="038"/>
    <s v="SLF-038"/>
    <s v="CUS-00053"/>
    <x v="4"/>
    <x v="11"/>
    <n v="9"/>
    <s v="Nonfiction"/>
    <n v="18"/>
    <s v="Large Order"/>
    <s v="Large"/>
    <n v="27.48"/>
    <n v="494.64"/>
    <x v="53"/>
    <m/>
    <s v="No Discount"/>
    <m/>
    <m/>
    <n v="494.64"/>
  </r>
  <r>
    <n v="100083"/>
    <s v="MYS-066"/>
    <s v="MYS"/>
    <s v="066"/>
    <s v="MYS-066"/>
    <s v="CUS-00082"/>
    <x v="3"/>
    <x v="4"/>
    <n v="7"/>
    <s v="Fiction"/>
    <n v="2"/>
    <s v="Standard Order"/>
    <s v="Standard"/>
    <n v="26.28"/>
    <n v="52.56"/>
    <x v="54"/>
    <m/>
    <s v="No Discount"/>
    <m/>
    <m/>
    <n v="52.56"/>
  </r>
  <r>
    <n v="100084"/>
    <s v="NFC-044"/>
    <s v="NFC"/>
    <s v="044"/>
    <s v="NFC-044"/>
    <s v="CUS-00053"/>
    <x v="4"/>
    <x v="10"/>
    <n v="10"/>
    <s v="Nonfiction"/>
    <n v="12"/>
    <s v="Large Order"/>
    <s v="Large"/>
    <n v="26"/>
    <n v="312"/>
    <x v="54"/>
    <m/>
    <s v="No Discount"/>
    <m/>
    <m/>
    <n v="312"/>
  </r>
  <r>
    <n v="100085"/>
    <s v="HIS-074"/>
    <s v="HIS"/>
    <s v="074"/>
    <s v="HIS-074"/>
    <s v="CUS-00087"/>
    <x v="1"/>
    <x v="1"/>
    <n v="18"/>
    <s v="Fiction"/>
    <n v="11"/>
    <s v="Large Order"/>
    <s v="Large"/>
    <n v="17.47"/>
    <n v="192.17"/>
    <x v="55"/>
    <m/>
    <s v="No Discount"/>
    <m/>
    <m/>
    <n v="192.17"/>
  </r>
  <r>
    <n v="100086"/>
    <s v="MYS-066"/>
    <s v="MYS"/>
    <s v="066"/>
    <s v="MYS-066"/>
    <s v="CUS-00017"/>
    <x v="0"/>
    <x v="4"/>
    <n v="7"/>
    <s v="Fiction"/>
    <n v="1"/>
    <s v="Standard Order"/>
    <s v="Standard"/>
    <n v="27.48"/>
    <n v="27.48"/>
    <x v="56"/>
    <m/>
    <s v="No Discount"/>
    <m/>
    <m/>
    <n v="27.48"/>
  </r>
  <r>
    <n v="100087"/>
    <s v="SCI-069"/>
    <s v="SCI"/>
    <s v="069"/>
    <s v="SCI-069"/>
    <s v="CUS-00082"/>
    <x v="3"/>
    <x v="2"/>
    <n v="15"/>
    <s v="Fiction"/>
    <n v="2"/>
    <s v="Standard Order"/>
    <s v="Standard"/>
    <n v="10.67"/>
    <n v="21.34"/>
    <x v="56"/>
    <m/>
    <s v="No Discount"/>
    <m/>
    <m/>
    <n v="21.34"/>
  </r>
  <r>
    <n v="100088"/>
    <s v="FAN-068"/>
    <s v="FAN"/>
    <s v="068"/>
    <s v="FAN-068"/>
    <s v="CUS-00080"/>
    <x v="4"/>
    <x v="0"/>
    <n v="7"/>
    <s v="Fiction"/>
    <n v="21"/>
    <s v="Large Order"/>
    <s v="Large"/>
    <n v="19.52"/>
    <n v="409.92"/>
    <x v="57"/>
    <m/>
    <s v="No Discount"/>
    <m/>
    <m/>
    <n v="409.92"/>
  </r>
  <r>
    <n v="100089"/>
    <s v="YAD-063"/>
    <s v="YAD"/>
    <s v="063"/>
    <s v="YAD-063"/>
    <s v="CUS-00073"/>
    <x v="4"/>
    <x v="9"/>
    <n v="11"/>
    <s v="Fiction"/>
    <n v="17"/>
    <s v="Large Order"/>
    <s v="Large"/>
    <n v="23.72"/>
    <n v="403.24"/>
    <x v="57"/>
    <m/>
    <s v="No Discount"/>
    <m/>
    <m/>
    <n v="403.24"/>
  </r>
  <r>
    <n v="100090"/>
    <s v="BIO-032"/>
    <s v="BIO"/>
    <s v="032"/>
    <s v="BIO-032"/>
    <s v="CUS-00066"/>
    <x v="3"/>
    <x v="8"/>
    <n v="9"/>
    <s v="Nonfiction"/>
    <n v="1"/>
    <s v="Standard Order"/>
    <s v="Standard"/>
    <n v="16.559999999999999"/>
    <n v="16.559999999999999"/>
    <x v="58"/>
    <m/>
    <s v="No Discount"/>
    <m/>
    <m/>
    <n v="16.559999999999999"/>
  </r>
  <r>
    <n v="100091"/>
    <s v="ROM-067"/>
    <s v="ROM"/>
    <s v="067"/>
    <s v="ROM-067"/>
    <s v="CUS-00078"/>
    <x v="2"/>
    <x v="6"/>
    <n v="7"/>
    <s v="Fiction"/>
    <n v="1"/>
    <s v="Standard Order"/>
    <s v="Standard"/>
    <n v="23.05"/>
    <n v="23.05"/>
    <x v="59"/>
    <m/>
    <s v="No Discount"/>
    <m/>
    <m/>
    <n v="23.05"/>
  </r>
  <r>
    <n v="100092"/>
    <s v="YAD-063"/>
    <s v="YAD"/>
    <s v="063"/>
    <s v="YAD-063"/>
    <s v="CUS-00024"/>
    <x v="2"/>
    <x v="9"/>
    <n v="11"/>
    <s v="Fiction"/>
    <n v="1"/>
    <s v="Standard Order"/>
    <s v="Standard"/>
    <n v="12.23"/>
    <n v="12.23"/>
    <x v="59"/>
    <m/>
    <s v="Discount"/>
    <s v="BOOKCLUB"/>
    <n v="0.2"/>
    <n v="9.7840000000000007"/>
  </r>
  <r>
    <n v="100093"/>
    <s v="GRN-065"/>
    <s v="GRN"/>
    <s v="065"/>
    <s v="GRN-065"/>
    <s v="CUS-00022"/>
    <x v="2"/>
    <x v="7"/>
    <n v="13"/>
    <s v="Fiction"/>
    <n v="2"/>
    <s v="Standard Order"/>
    <s v="Standard"/>
    <n v="24.54"/>
    <n v="49.08"/>
    <x v="60"/>
    <m/>
    <s v="No Discount"/>
    <m/>
    <m/>
    <n v="49.08"/>
  </r>
  <r>
    <n v="100094"/>
    <s v="THR-049"/>
    <s v="THR"/>
    <s v="049"/>
    <s v="THR-049"/>
    <s v="CUS-00080"/>
    <x v="4"/>
    <x v="5"/>
    <n v="8"/>
    <s v="Fiction"/>
    <n v="17"/>
    <s v="Large Order"/>
    <s v="Large"/>
    <n v="21.04"/>
    <n v="357.68"/>
    <x v="61"/>
    <m/>
    <s v="No Discount"/>
    <m/>
    <m/>
    <n v="357.68"/>
  </r>
  <r>
    <n v="100095"/>
    <s v="THR-075"/>
    <s v="THR"/>
    <s v="075"/>
    <s v="THR-075"/>
    <s v="CUS-00025"/>
    <x v="0"/>
    <x v="5"/>
    <n v="8"/>
    <s v="Fiction"/>
    <n v="2"/>
    <s v="Standard Order"/>
    <s v="Standard"/>
    <n v="25.21"/>
    <n v="50.42"/>
    <x v="61"/>
    <m/>
    <s v="Discount"/>
    <s v="SUMMER10"/>
    <n v="0.1"/>
    <n v="45.378"/>
  </r>
  <r>
    <n v="100096"/>
    <s v="HOR-060"/>
    <s v="HOR"/>
    <s v="060"/>
    <s v="HOR-060"/>
    <s v="CUS-00054"/>
    <x v="4"/>
    <x v="3"/>
    <n v="6"/>
    <s v="Fiction"/>
    <n v="8"/>
    <s v="Standard Order"/>
    <s v="Standard"/>
    <n v="28.38"/>
    <n v="227.04"/>
    <x v="62"/>
    <m/>
    <s v="No Discount"/>
    <m/>
    <m/>
    <n v="227.04"/>
  </r>
  <r>
    <n v="100097"/>
    <s v="ROM-041"/>
    <s v="ROM"/>
    <s v="041"/>
    <s v="ROM-041"/>
    <s v="CUS-00077"/>
    <x v="2"/>
    <x v="6"/>
    <n v="7"/>
    <s v="Fiction"/>
    <n v="11"/>
    <s v="Large Order"/>
    <s v="Large"/>
    <n v="16.86"/>
    <n v="185.45999999999998"/>
    <x v="63"/>
    <m/>
    <s v="No Discount"/>
    <m/>
    <m/>
    <n v="185.45999999999998"/>
  </r>
  <r>
    <n v="100098"/>
    <s v="BIO-071"/>
    <s v="BIO"/>
    <s v="071"/>
    <s v="BIO-071"/>
    <s v="CUS-00071"/>
    <x v="1"/>
    <x v="8"/>
    <n v="9"/>
    <s v="Nonfiction"/>
    <n v="9"/>
    <s v="Standard Order"/>
    <s v="Standard"/>
    <n v="28.46"/>
    <n v="256.14"/>
    <x v="63"/>
    <m/>
    <s v="No Discount"/>
    <m/>
    <m/>
    <n v="256.14"/>
  </r>
  <r>
    <n v="100099"/>
    <s v="BIO-058"/>
    <s v="BIO"/>
    <s v="058"/>
    <s v="BIO-058"/>
    <s v="CUS-00003"/>
    <x v="0"/>
    <x v="8"/>
    <n v="9"/>
    <s v="Nonfiction"/>
    <n v="1"/>
    <s v="Standard Order"/>
    <s v="Standard"/>
    <n v="27.28"/>
    <n v="27.28"/>
    <x v="64"/>
    <m/>
    <s v="No Discount"/>
    <m/>
    <m/>
    <n v="27.28"/>
  </r>
  <r>
    <n v="100100"/>
    <s v="HOR-073"/>
    <s v="HOR"/>
    <s v="073"/>
    <s v="HOR-073"/>
    <s v="CUS-00082"/>
    <x v="3"/>
    <x v="3"/>
    <n v="6"/>
    <s v="Fiction"/>
    <n v="2"/>
    <s v="Standard Order"/>
    <s v="Standard"/>
    <n v="29.47"/>
    <n v="58.94"/>
    <x v="65"/>
    <m/>
    <s v="Discount"/>
    <s v="MEMBER5"/>
    <n v="0.05"/>
    <n v="55.99299999999999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37BAD03-C511-4823-BCB7-856681DF1825}" name="PivotTable2" cacheId="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3:E14" firstHeaderRow="1" firstDataRow="4" firstDataCol="1"/>
  <pivotFields count="25">
    <pivotField showAll="0"/>
    <pivotField showAll="0"/>
    <pivotField showAll="0"/>
    <pivotField showAll="0"/>
    <pivotField showAll="0"/>
    <pivotField showAll="0"/>
    <pivotField axis="axisRow" multipleItemSelectionAllowed="1" showAll="0">
      <items count="6">
        <item x="1"/>
        <item x="4"/>
        <item x="3"/>
        <item x="0"/>
        <item x="2"/>
        <item t="default"/>
      </items>
    </pivotField>
    <pivotField showAll="0">
      <items count="14">
        <item h="1" x="8"/>
        <item h="1" x="0"/>
        <item h="1" x="7"/>
        <item x="1"/>
        <item h="1" x="3"/>
        <item h="1" x="4"/>
        <item h="1" x="10"/>
        <item h="1" x="12"/>
        <item h="1" x="6"/>
        <item h="1" x="2"/>
        <item h="1" x="11"/>
        <item h="1" x="5"/>
        <item h="1" x="9"/>
        <item t="default"/>
      </items>
    </pivotField>
    <pivotField showAll="0"/>
    <pivotField showAll="0"/>
    <pivotField dataField="1" showAll="0"/>
    <pivotField showAll="0"/>
    <pivotField showAll="0"/>
    <pivotField numFmtId="164" showAll="0"/>
    <pivotField numFmtId="164" showAll="0"/>
    <pivotField axis="axisCol" numFmtId="14" showAll="0">
      <items count="6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t="default"/>
      </items>
    </pivotField>
    <pivotField showAll="0"/>
    <pivotField showAll="0"/>
    <pivotField showAll="0"/>
    <pivotField showAll="0"/>
    <pivotField numFmtId="165" showAll="0"/>
    <pivotField axis="axisCol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x="367"/>
        <item t="default"/>
      </items>
    </pivotField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3">
        <item n="Nonfiction" x="0"/>
        <item n="Fiction" x="1"/>
        <item t="default"/>
      </items>
    </pivotField>
    <pivotField axis="axisRow" showAll="0">
      <items count="3">
        <item n="Special" x="0"/>
        <item n="Regular" x="1"/>
        <item t="default"/>
      </items>
    </pivotField>
  </pivotFields>
  <rowFields count="2">
    <field x="24"/>
    <field x="6"/>
  </rowFields>
  <rowItems count="8">
    <i>
      <x/>
    </i>
    <i r="1">
      <x/>
    </i>
    <i r="1">
      <x v="1"/>
    </i>
    <i r="1">
      <x v="2"/>
    </i>
    <i>
      <x v="1"/>
    </i>
    <i r="1">
      <x v="3"/>
    </i>
    <i r="1">
      <x v="4"/>
    </i>
    <i t="grand">
      <x/>
    </i>
  </rowItems>
  <colFields count="3">
    <field x="22"/>
    <field x="21"/>
    <field x="15"/>
  </colFields>
  <colItems count="4">
    <i>
      <x v="6"/>
    </i>
    <i>
      <x v="7"/>
    </i>
    <i>
      <x v="8"/>
    </i>
    <i t="grand">
      <x/>
    </i>
  </colItems>
  <dataFields count="1">
    <dataField name="Sum of Quantity" fld="10" baseField="0" baseItem="0"/>
  </dataFields>
  <chartFormats count="3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6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7"/>
          </reference>
        </references>
      </pivotArea>
    </chartFormat>
    <chartFormat chart="0" format="2" series="1">
      <pivotArea type="data" outline="0" fieldPosition="0">
        <references count="2">
          <reference field="4294967294" count="1" selected="0">
            <x v="0"/>
          </reference>
          <reference field="22" count="1" selected="0">
            <x v="8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46EB2A-E7C3-4858-997A-D6E02735D293}">
  <dimension ref="A3:E14"/>
  <sheetViews>
    <sheetView workbookViewId="0">
      <selection activeCell="A10" sqref="A10"/>
    </sheetView>
  </sheetViews>
  <sheetFormatPr defaultRowHeight="15" x14ac:dyDescent="0.25"/>
  <cols>
    <col min="1" max="1" width="15.42578125" bestFit="1" customWidth="1"/>
    <col min="2" max="2" width="16.28515625" bestFit="1" customWidth="1"/>
    <col min="3" max="3" width="5.28515625" bestFit="1" customWidth="1"/>
    <col min="4" max="4" width="6.28515625" bestFit="1" customWidth="1"/>
    <col min="5" max="5" width="11.28515625" bestFit="1" customWidth="1"/>
    <col min="6" max="6" width="5.85546875" bestFit="1" customWidth="1"/>
    <col min="7" max="7" width="11.28515625" bestFit="1" customWidth="1"/>
    <col min="8" max="16" width="8.5703125" bestFit="1" customWidth="1"/>
    <col min="17" max="17" width="8.85546875" bestFit="1" customWidth="1"/>
    <col min="18" max="18" width="5.28515625" bestFit="1" customWidth="1"/>
    <col min="19" max="19" width="6.28515625" bestFit="1" customWidth="1"/>
    <col min="20" max="20" width="6.140625" bestFit="1" customWidth="1"/>
    <col min="21" max="21" width="5.85546875" bestFit="1" customWidth="1"/>
    <col min="22" max="22" width="11.28515625" bestFit="1" customWidth="1"/>
    <col min="23" max="34" width="9.7109375" bestFit="1" customWidth="1"/>
    <col min="35" max="38" width="8.7109375" bestFit="1" customWidth="1"/>
    <col min="39" max="49" width="9.7109375" bestFit="1" customWidth="1"/>
    <col min="50" max="55" width="8.7109375" bestFit="1" customWidth="1"/>
    <col min="56" max="65" width="9.7109375" bestFit="1" customWidth="1"/>
    <col min="66" max="66" width="11.28515625" bestFit="1" customWidth="1"/>
  </cols>
  <sheetData>
    <row r="3" spans="1:5" x14ac:dyDescent="0.25">
      <c r="A3" s="10" t="s">
        <v>206</v>
      </c>
      <c r="B3" s="10" t="s">
        <v>207</v>
      </c>
    </row>
    <row r="4" spans="1:5" x14ac:dyDescent="0.25">
      <c r="B4" t="s">
        <v>208</v>
      </c>
      <c r="C4" t="s">
        <v>209</v>
      </c>
      <c r="D4" t="s">
        <v>210</v>
      </c>
      <c r="E4" t="s">
        <v>205</v>
      </c>
    </row>
    <row r="6" spans="1:5" x14ac:dyDescent="0.25">
      <c r="A6" s="10" t="s">
        <v>204</v>
      </c>
    </row>
    <row r="7" spans="1:5" x14ac:dyDescent="0.25">
      <c r="A7" s="11" t="s">
        <v>211</v>
      </c>
      <c r="B7" s="5">
        <v>269</v>
      </c>
      <c r="C7" s="5">
        <v>228</v>
      </c>
      <c r="D7" s="5">
        <v>36</v>
      </c>
      <c r="E7" s="5">
        <v>533</v>
      </c>
    </row>
    <row r="8" spans="1:5" x14ac:dyDescent="0.25">
      <c r="A8" s="12" t="s">
        <v>15</v>
      </c>
      <c r="B8" s="5">
        <v>86</v>
      </c>
      <c r="C8" s="5">
        <v>61</v>
      </c>
      <c r="D8" s="5">
        <v>9</v>
      </c>
      <c r="E8" s="5">
        <v>156</v>
      </c>
    </row>
    <row r="9" spans="1:5" x14ac:dyDescent="0.25">
      <c r="A9" s="12" t="s">
        <v>49</v>
      </c>
      <c r="B9" s="5">
        <v>168</v>
      </c>
      <c r="C9" s="5">
        <v>151</v>
      </c>
      <c r="D9" s="5">
        <v>25</v>
      </c>
      <c r="E9" s="5">
        <v>344</v>
      </c>
    </row>
    <row r="10" spans="1:5" x14ac:dyDescent="0.25">
      <c r="A10" s="12" t="s">
        <v>42</v>
      </c>
      <c r="B10" s="5">
        <v>15</v>
      </c>
      <c r="C10" s="5">
        <v>16</v>
      </c>
      <c r="D10" s="5">
        <v>2</v>
      </c>
      <c r="E10" s="5">
        <v>33</v>
      </c>
    </row>
    <row r="11" spans="1:5" x14ac:dyDescent="0.25">
      <c r="A11" s="11" t="s">
        <v>212</v>
      </c>
      <c r="B11" s="5">
        <v>62</v>
      </c>
      <c r="C11" s="5">
        <v>26</v>
      </c>
      <c r="D11" s="5">
        <v>14</v>
      </c>
      <c r="E11" s="5">
        <v>102</v>
      </c>
    </row>
    <row r="12" spans="1:5" x14ac:dyDescent="0.25">
      <c r="A12" s="12" t="s">
        <v>11</v>
      </c>
      <c r="B12" s="5">
        <v>25</v>
      </c>
      <c r="C12" s="5">
        <v>4</v>
      </c>
      <c r="D12" s="5">
        <v>3</v>
      </c>
      <c r="E12" s="5">
        <v>32</v>
      </c>
    </row>
    <row r="13" spans="1:5" x14ac:dyDescent="0.25">
      <c r="A13" s="12" t="s">
        <v>29</v>
      </c>
      <c r="B13" s="5">
        <v>37</v>
      </c>
      <c r="C13" s="5">
        <v>22</v>
      </c>
      <c r="D13" s="5">
        <v>11</v>
      </c>
      <c r="E13" s="5">
        <v>70</v>
      </c>
    </row>
    <row r="14" spans="1:5" x14ac:dyDescent="0.25">
      <c r="A14" s="11" t="s">
        <v>205</v>
      </c>
      <c r="B14" s="5">
        <v>331</v>
      </c>
      <c r="C14" s="5">
        <v>254</v>
      </c>
      <c r="D14" s="5">
        <v>50</v>
      </c>
      <c r="E14" s="5">
        <v>635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212"/>
  <sheetViews>
    <sheetView tabSelected="1" zoomScale="120" zoomScaleNormal="120" workbookViewId="0">
      <pane ySplit="1" topLeftCell="A2" activePane="bottomLeft" state="frozen"/>
      <selection pane="bottomLeft" activeCell="D10" sqref="D10"/>
    </sheetView>
  </sheetViews>
  <sheetFormatPr defaultRowHeight="15" x14ac:dyDescent="0.25"/>
  <cols>
    <col min="1" max="5" width="11.42578125" customWidth="1"/>
    <col min="6" max="6" width="13.7109375" customWidth="1"/>
    <col min="7" max="7" width="16" customWidth="1"/>
    <col min="8" max="10" width="18.140625" customWidth="1"/>
    <col min="11" max="11" width="11.5703125" customWidth="1"/>
    <col min="12" max="12" width="14.5703125" bestFit="1" customWidth="1"/>
    <col min="13" max="13" width="14.5703125" customWidth="1"/>
    <col min="14" max="15" width="12.140625" customWidth="1"/>
    <col min="16" max="18" width="12.7109375" customWidth="1"/>
    <col min="19" max="19" width="14.5703125" customWidth="1"/>
    <col min="20" max="20" width="15.85546875" customWidth="1"/>
    <col min="21" max="21" width="15.85546875" style="8" customWidth="1"/>
  </cols>
  <sheetData>
    <row r="1" spans="1:23" x14ac:dyDescent="0.25">
      <c r="A1" s="1" t="s">
        <v>0</v>
      </c>
      <c r="B1" s="1" t="s">
        <v>1</v>
      </c>
      <c r="C1" s="1" t="s">
        <v>195</v>
      </c>
      <c r="D1" s="1" t="s">
        <v>196</v>
      </c>
      <c r="E1" s="1" t="s">
        <v>198</v>
      </c>
      <c r="F1" s="1" t="s">
        <v>2</v>
      </c>
      <c r="G1" s="1" t="s">
        <v>3</v>
      </c>
      <c r="H1" s="1" t="s">
        <v>4</v>
      </c>
      <c r="I1" s="1" t="s">
        <v>197</v>
      </c>
      <c r="J1" s="1" t="s">
        <v>202</v>
      </c>
      <c r="K1" s="1" t="s">
        <v>5</v>
      </c>
      <c r="L1" s="1"/>
      <c r="M1" s="1"/>
      <c r="N1" s="1" t="s">
        <v>6</v>
      </c>
      <c r="O1" s="1" t="s">
        <v>184</v>
      </c>
      <c r="P1" s="1" t="s">
        <v>7</v>
      </c>
      <c r="Q1" s="1"/>
      <c r="R1" s="1" t="s">
        <v>201</v>
      </c>
      <c r="S1" s="1" t="s">
        <v>8</v>
      </c>
      <c r="T1" s="1" t="s">
        <v>183</v>
      </c>
      <c r="U1" s="6" t="s">
        <v>185</v>
      </c>
      <c r="V1" s="1" t="s">
        <v>213</v>
      </c>
    </row>
    <row r="2" spans="1:23" x14ac:dyDescent="0.25">
      <c r="A2">
        <v>100001</v>
      </c>
      <c r="B2" t="s">
        <v>9</v>
      </c>
      <c r="C2" t="str">
        <f>LEFT(B2,3)</f>
        <v>FAN</v>
      </c>
      <c r="D2" t="str">
        <f>RIGHT(B2,3)</f>
        <v>068</v>
      </c>
      <c r="E2" t="str">
        <f>C2&amp;"-"&amp;D2</f>
        <v>FAN-068</v>
      </c>
      <c r="F2" t="s">
        <v>10</v>
      </c>
      <c r="G2" t="s">
        <v>11</v>
      </c>
      <c r="H2" t="s">
        <v>12</v>
      </c>
      <c r="I2">
        <f>LEN(H2)</f>
        <v>7</v>
      </c>
      <c r="J2" t="s">
        <v>203</v>
      </c>
      <c r="K2">
        <v>2</v>
      </c>
      <c r="L2" t="str">
        <f>IF(K2&gt;=10,"Large Order","Standard Order")</f>
        <v>Standard Order</v>
      </c>
      <c r="M2" t="str" cm="1">
        <f t="array" ref="M2">_xlfn.IFS(K2&gt;=25,"Bulk",K2&gt;=10,"Large",K2&lt;10,"Standard")</f>
        <v>Standard</v>
      </c>
      <c r="N2" s="2">
        <v>22.93</v>
      </c>
      <c r="O2" s="2">
        <f>K2*N2</f>
        <v>45.86</v>
      </c>
      <c r="P2" s="3">
        <v>46174</v>
      </c>
      <c r="Q2" s="5">
        <f>YEAR(P2)</f>
        <v>2026</v>
      </c>
      <c r="R2" s="5" t="str">
        <f>IF(S2="","No Discount","Discount")</f>
        <v>No Discount</v>
      </c>
      <c r="T2" s="4"/>
      <c r="U2" s="7">
        <f>O2*(1-T2)</f>
        <v>45.86</v>
      </c>
      <c r="V2" s="4"/>
    </row>
    <row r="3" spans="1:23" x14ac:dyDescent="0.25">
      <c r="A3">
        <v>100002</v>
      </c>
      <c r="B3" t="s">
        <v>13</v>
      </c>
      <c r="C3" t="str">
        <f t="shared" ref="C3:C66" si="0">LEFT(B3,3)</f>
        <v>HIS</v>
      </c>
      <c r="D3" t="str">
        <f t="shared" ref="D3:D66" si="1">RIGHT(B3,3)</f>
        <v>074</v>
      </c>
      <c r="E3" t="str">
        <f t="shared" ref="E3:E66" si="2">C3&amp;"-"&amp;D3</f>
        <v>HIS-074</v>
      </c>
      <c r="F3" t="s">
        <v>14</v>
      </c>
      <c r="G3" t="s">
        <v>15</v>
      </c>
      <c r="H3" t="s">
        <v>16</v>
      </c>
      <c r="I3">
        <f t="shared" ref="I3:I66" si="3">LEN(H3)</f>
        <v>18</v>
      </c>
      <c r="J3" t="s">
        <v>203</v>
      </c>
      <c r="K3">
        <v>9</v>
      </c>
      <c r="L3" t="str">
        <f t="shared" ref="L3:L66" si="4">IF(K3&gt;=10,"Large Order","Standard Order")</f>
        <v>Standard Order</v>
      </c>
      <c r="M3" t="str" cm="1">
        <f t="array" ref="M3">_xlfn.IFS(K3&gt;=25,"Bulk",K3&gt;=10,"Large",K3&lt;10,"Standard")</f>
        <v>Standard</v>
      </c>
      <c r="N3" s="2">
        <v>28.53</v>
      </c>
      <c r="O3" s="2">
        <f>K3*N3</f>
        <v>256.77</v>
      </c>
      <c r="P3" s="3">
        <v>46175</v>
      </c>
      <c r="Q3" s="5">
        <f>MONTH(P3)</f>
        <v>6</v>
      </c>
      <c r="R3" s="5" t="str">
        <f t="shared" ref="R3:R66" si="5">IF(S3="","No Discount","Discount")</f>
        <v>Discount</v>
      </c>
      <c r="S3" t="s">
        <v>17</v>
      </c>
      <c r="T3" s="4">
        <v>0.2</v>
      </c>
      <c r="U3" s="7">
        <f>O3*(1-T3)</f>
        <v>205.416</v>
      </c>
      <c r="V3" s="4"/>
    </row>
    <row r="4" spans="1:23" x14ac:dyDescent="0.25">
      <c r="A4">
        <v>100003</v>
      </c>
      <c r="B4" t="s">
        <v>18</v>
      </c>
      <c r="C4" t="str">
        <f t="shared" si="0"/>
        <v>HIS</v>
      </c>
      <c r="D4" t="str">
        <f t="shared" si="1"/>
        <v>035</v>
      </c>
      <c r="E4" t="str">
        <f t="shared" si="2"/>
        <v>HIS-035</v>
      </c>
      <c r="F4" t="s">
        <v>19</v>
      </c>
      <c r="G4" t="s">
        <v>11</v>
      </c>
      <c r="H4" t="s">
        <v>16</v>
      </c>
      <c r="I4">
        <f t="shared" si="3"/>
        <v>18</v>
      </c>
      <c r="J4" t="s">
        <v>203</v>
      </c>
      <c r="K4">
        <v>3</v>
      </c>
      <c r="L4" t="str">
        <f t="shared" si="4"/>
        <v>Standard Order</v>
      </c>
      <c r="M4" t="str" cm="1">
        <f t="array" ref="M4">_xlfn.IFS(K4&gt;=25,"Bulk",K4&gt;=10,"Large",K4&lt;10,"Standard")</f>
        <v>Standard</v>
      </c>
      <c r="N4" s="2">
        <v>13.94</v>
      </c>
      <c r="O4" s="2">
        <f t="shared" ref="O4:O66" si="6">K4*N4</f>
        <v>41.82</v>
      </c>
      <c r="P4" s="3">
        <v>46175</v>
      </c>
      <c r="Q4" s="5">
        <f>DAY(P4)</f>
        <v>2</v>
      </c>
      <c r="R4" s="5" t="str">
        <f t="shared" si="5"/>
        <v>No Discount</v>
      </c>
      <c r="T4" s="4"/>
      <c r="U4" s="7">
        <f>O4*(1-T4)</f>
        <v>41.82</v>
      </c>
      <c r="V4" s="4"/>
    </row>
    <row r="5" spans="1:23" x14ac:dyDescent="0.25">
      <c r="A5">
        <v>100004</v>
      </c>
      <c r="B5" t="s">
        <v>21</v>
      </c>
      <c r="C5" t="str">
        <f t="shared" si="0"/>
        <v>SCI</v>
      </c>
      <c r="D5" t="str">
        <f t="shared" si="1"/>
        <v>043</v>
      </c>
      <c r="E5" t="str">
        <f t="shared" si="2"/>
        <v>SCI-043</v>
      </c>
      <c r="F5" t="s">
        <v>22</v>
      </c>
      <c r="G5" t="s">
        <v>11</v>
      </c>
      <c r="H5" t="s">
        <v>23</v>
      </c>
      <c r="I5">
        <f t="shared" si="3"/>
        <v>15</v>
      </c>
      <c r="J5" t="s">
        <v>203</v>
      </c>
      <c r="K5">
        <v>1</v>
      </c>
      <c r="L5" t="str">
        <f t="shared" si="4"/>
        <v>Standard Order</v>
      </c>
      <c r="M5" t="str" cm="1">
        <f t="array" ref="M5">_xlfn.IFS(K5&gt;=25,"Bulk",K5&gt;=10,"Large",K5&lt;10,"Standard")</f>
        <v>Standard</v>
      </c>
      <c r="N5" s="2">
        <v>30.73</v>
      </c>
      <c r="O5" s="2">
        <f t="shared" si="6"/>
        <v>30.73</v>
      </c>
      <c r="P5" s="3">
        <v>46176</v>
      </c>
      <c r="Q5" s="5" t="str">
        <f>TEXT(P5,"mmmm")</f>
        <v>June</v>
      </c>
      <c r="R5" s="5" t="str">
        <f t="shared" si="5"/>
        <v>Discount</v>
      </c>
      <c r="S5" t="s">
        <v>24</v>
      </c>
      <c r="T5" s="4">
        <v>0.15</v>
      </c>
      <c r="U5" s="7">
        <f>O5*(1-T5)</f>
        <v>26.1205</v>
      </c>
      <c r="V5" s="4"/>
    </row>
    <row r="6" spans="1:23" x14ac:dyDescent="0.25">
      <c r="A6">
        <v>100005</v>
      </c>
      <c r="B6" t="s">
        <v>25</v>
      </c>
      <c r="C6" t="str">
        <f t="shared" si="0"/>
        <v>HOR</v>
      </c>
      <c r="D6" t="str">
        <f t="shared" si="1"/>
        <v>060</v>
      </c>
      <c r="E6" t="str">
        <f t="shared" si="2"/>
        <v>HOR-060</v>
      </c>
      <c r="F6" t="s">
        <v>26</v>
      </c>
      <c r="G6" t="s">
        <v>11</v>
      </c>
      <c r="H6" t="s">
        <v>27</v>
      </c>
      <c r="I6">
        <f t="shared" si="3"/>
        <v>6</v>
      </c>
      <c r="J6" t="s">
        <v>203</v>
      </c>
      <c r="K6">
        <v>1</v>
      </c>
      <c r="L6" t="str">
        <f t="shared" si="4"/>
        <v>Standard Order</v>
      </c>
      <c r="M6" t="str" cm="1">
        <f t="array" ref="M6">_xlfn.IFS(K6&gt;=25,"Bulk",K6&gt;=10,"Large",K6&lt;10,"Standard")</f>
        <v>Standard</v>
      </c>
      <c r="N6" s="2">
        <v>11.14</v>
      </c>
      <c r="O6" s="2">
        <f t="shared" si="6"/>
        <v>11.14</v>
      </c>
      <c r="P6" s="3">
        <v>46177</v>
      </c>
      <c r="Q6" s="5" t="str">
        <f>TEXT(P6,"mmm")</f>
        <v>Jun</v>
      </c>
      <c r="R6" s="5" t="str">
        <f t="shared" si="5"/>
        <v>No Discount</v>
      </c>
      <c r="T6" s="4"/>
      <c r="U6" s="7">
        <f>O6*(1-T6)</f>
        <v>11.14</v>
      </c>
      <c r="V6" s="4"/>
    </row>
    <row r="7" spans="1:23" x14ac:dyDescent="0.25">
      <c r="A7">
        <v>100006</v>
      </c>
      <c r="B7" t="s">
        <v>28</v>
      </c>
      <c r="C7" t="str">
        <f t="shared" si="0"/>
        <v>MYS</v>
      </c>
      <c r="D7" t="str">
        <f t="shared" si="1"/>
        <v>066</v>
      </c>
      <c r="E7" t="str">
        <f t="shared" si="2"/>
        <v>MYS-066</v>
      </c>
      <c r="F7" t="s">
        <v>19</v>
      </c>
      <c r="G7" t="s">
        <v>29</v>
      </c>
      <c r="H7" t="s">
        <v>30</v>
      </c>
      <c r="I7">
        <f t="shared" si="3"/>
        <v>7</v>
      </c>
      <c r="J7" t="s">
        <v>203</v>
      </c>
      <c r="K7">
        <v>1</v>
      </c>
      <c r="L7" t="str">
        <f t="shared" si="4"/>
        <v>Standard Order</v>
      </c>
      <c r="M7" t="str" cm="1">
        <f t="array" ref="M7">_xlfn.IFS(K7&gt;=25,"Bulk",K7&gt;=10,"Large",K7&lt;10,"Standard")</f>
        <v>Standard</v>
      </c>
      <c r="N7" s="2">
        <v>31.83</v>
      </c>
      <c r="O7" s="2">
        <f t="shared" si="6"/>
        <v>31.83</v>
      </c>
      <c r="P7" s="3">
        <v>46177</v>
      </c>
      <c r="Q7" s="5" t="str">
        <f>TEXT(P7,"ddd")</f>
        <v>Thu</v>
      </c>
      <c r="R7" s="5" t="str">
        <f t="shared" si="5"/>
        <v>No Discount</v>
      </c>
      <c r="T7" s="4"/>
      <c r="U7" s="7">
        <f>O7*(1-T7)</f>
        <v>31.83</v>
      </c>
      <c r="V7" s="4"/>
      <c r="W7" t="s">
        <v>191</v>
      </c>
    </row>
    <row r="8" spans="1:23" x14ac:dyDescent="0.25">
      <c r="A8">
        <v>100007</v>
      </c>
      <c r="B8" t="s">
        <v>31</v>
      </c>
      <c r="C8" t="str">
        <f t="shared" si="0"/>
        <v>THR</v>
      </c>
      <c r="D8" t="str">
        <f t="shared" si="1"/>
        <v>036</v>
      </c>
      <c r="E8" t="str">
        <f t="shared" si="2"/>
        <v>THR-036</v>
      </c>
      <c r="F8" t="s">
        <v>32</v>
      </c>
      <c r="G8" t="s">
        <v>15</v>
      </c>
      <c r="H8" t="s">
        <v>33</v>
      </c>
      <c r="I8">
        <f t="shared" si="3"/>
        <v>8</v>
      </c>
      <c r="J8" t="s">
        <v>203</v>
      </c>
      <c r="K8">
        <v>11</v>
      </c>
      <c r="L8" t="str">
        <f t="shared" si="4"/>
        <v>Large Order</v>
      </c>
      <c r="M8" t="str" cm="1">
        <f t="array" ref="M8">_xlfn.IFS(K8&gt;=25,"Bulk",K8&gt;=10,"Large",K8&lt;10,"Standard")</f>
        <v>Large</v>
      </c>
      <c r="N8" s="2">
        <v>22.58</v>
      </c>
      <c r="O8" s="2">
        <f t="shared" si="6"/>
        <v>248.38</v>
      </c>
      <c r="P8" s="3">
        <v>46178</v>
      </c>
      <c r="Q8" s="5" t="str">
        <f>TEXT(P8,"dddd")</f>
        <v>Friday</v>
      </c>
      <c r="R8" s="5" t="str">
        <f t="shared" si="5"/>
        <v>Discount</v>
      </c>
      <c r="S8" t="s">
        <v>34</v>
      </c>
      <c r="T8" s="4">
        <v>7.4999999999999997E-2</v>
      </c>
      <c r="U8" s="7">
        <f>O8*(1-T8)</f>
        <v>229.75149999999999</v>
      </c>
      <c r="V8" s="4"/>
      <c r="W8" t="s">
        <v>192</v>
      </c>
    </row>
    <row r="9" spans="1:23" x14ac:dyDescent="0.25">
      <c r="A9">
        <v>100008</v>
      </c>
      <c r="B9" t="s">
        <v>35</v>
      </c>
      <c r="C9" t="str">
        <f t="shared" si="0"/>
        <v>ROM</v>
      </c>
      <c r="D9" t="str">
        <f t="shared" si="1"/>
        <v>067</v>
      </c>
      <c r="E9" t="str">
        <f t="shared" si="2"/>
        <v>ROM-067</v>
      </c>
      <c r="F9" t="s">
        <v>36</v>
      </c>
      <c r="G9" t="s">
        <v>15</v>
      </c>
      <c r="H9" t="s">
        <v>37</v>
      </c>
      <c r="I9">
        <f t="shared" si="3"/>
        <v>7</v>
      </c>
      <c r="J9" t="s">
        <v>203</v>
      </c>
      <c r="K9">
        <v>12</v>
      </c>
      <c r="L9" t="str">
        <f t="shared" si="4"/>
        <v>Large Order</v>
      </c>
      <c r="M9" t="str" cm="1">
        <f t="array" ref="M9">_xlfn.IFS(K9&gt;=25,"Bulk",K9&gt;=10,"Large",K9&lt;10,"Standard")</f>
        <v>Large</v>
      </c>
      <c r="N9" s="2">
        <v>10.81</v>
      </c>
      <c r="O9" s="2">
        <f t="shared" si="6"/>
        <v>129.72</v>
      </c>
      <c r="P9" s="3">
        <v>46179</v>
      </c>
      <c r="Q9" s="5"/>
      <c r="R9" s="5" t="str">
        <f t="shared" si="5"/>
        <v>No Discount</v>
      </c>
      <c r="T9" s="4"/>
      <c r="U9" s="7">
        <f>O9*(1-T9)</f>
        <v>129.72</v>
      </c>
      <c r="V9" s="4"/>
      <c r="W9" t="s">
        <v>193</v>
      </c>
    </row>
    <row r="10" spans="1:23" x14ac:dyDescent="0.25">
      <c r="A10">
        <v>100009</v>
      </c>
      <c r="B10" t="s">
        <v>38</v>
      </c>
      <c r="C10" t="str">
        <f t="shared" si="0"/>
        <v>GRN</v>
      </c>
      <c r="D10" t="str">
        <f t="shared" si="1"/>
        <v>065</v>
      </c>
      <c r="E10" t="str">
        <f t="shared" si="2"/>
        <v>GRN-065</v>
      </c>
      <c r="F10" t="s">
        <v>39</v>
      </c>
      <c r="G10" t="s">
        <v>11</v>
      </c>
      <c r="H10" t="s">
        <v>40</v>
      </c>
      <c r="I10">
        <f t="shared" si="3"/>
        <v>13</v>
      </c>
      <c r="J10" t="s">
        <v>203</v>
      </c>
      <c r="K10">
        <v>1</v>
      </c>
      <c r="L10" t="str">
        <f t="shared" si="4"/>
        <v>Standard Order</v>
      </c>
      <c r="M10" t="str" cm="1">
        <f t="array" ref="M10">_xlfn.IFS(K10&gt;=25,"Bulk",K10&gt;=10,"Large",K10&lt;10,"Standard")</f>
        <v>Standard</v>
      </c>
      <c r="N10" s="2">
        <v>31.84</v>
      </c>
      <c r="O10" s="2">
        <f t="shared" si="6"/>
        <v>31.84</v>
      </c>
      <c r="P10" s="3">
        <v>46179</v>
      </c>
      <c r="Q10" s="5"/>
      <c r="R10" s="5" t="str">
        <f t="shared" si="5"/>
        <v>No Discount</v>
      </c>
      <c r="T10" s="4"/>
      <c r="U10" s="7">
        <f>O10*(1-T10)</f>
        <v>31.84</v>
      </c>
      <c r="V10" s="4"/>
      <c r="W10" t="s">
        <v>194</v>
      </c>
    </row>
    <row r="11" spans="1:23" x14ac:dyDescent="0.25">
      <c r="A11">
        <v>100010</v>
      </c>
      <c r="B11" t="s">
        <v>35</v>
      </c>
      <c r="C11" t="str">
        <f t="shared" si="0"/>
        <v>ROM</v>
      </c>
      <c r="D11" t="str">
        <f t="shared" si="1"/>
        <v>067</v>
      </c>
      <c r="E11" t="str">
        <f t="shared" si="2"/>
        <v>ROM-067</v>
      </c>
      <c r="F11" t="s">
        <v>41</v>
      </c>
      <c r="G11" t="s">
        <v>42</v>
      </c>
      <c r="H11" t="s">
        <v>37</v>
      </c>
      <c r="I11">
        <f t="shared" si="3"/>
        <v>7</v>
      </c>
      <c r="J11" t="s">
        <v>203</v>
      </c>
      <c r="K11">
        <v>1</v>
      </c>
      <c r="L11" t="str">
        <f t="shared" si="4"/>
        <v>Standard Order</v>
      </c>
      <c r="M11" t="str" cm="1">
        <f t="array" ref="M11">_xlfn.IFS(K11&gt;=25,"Bulk",K11&gt;=10,"Large",K11&lt;10,"Standard")</f>
        <v>Standard</v>
      </c>
      <c r="N11" s="2">
        <v>33.729999999999997</v>
      </c>
      <c r="O11" s="2">
        <f t="shared" si="6"/>
        <v>33.729999999999997</v>
      </c>
      <c r="P11" s="3">
        <v>46180</v>
      </c>
      <c r="Q11" s="5"/>
      <c r="R11" s="5" t="str">
        <f t="shared" si="5"/>
        <v>No Discount</v>
      </c>
      <c r="T11" s="4"/>
      <c r="U11" s="7">
        <f>O11*(1-T11)</f>
        <v>33.729999999999997</v>
      </c>
      <c r="V11" s="4"/>
    </row>
    <row r="12" spans="1:23" x14ac:dyDescent="0.25">
      <c r="A12">
        <v>100011</v>
      </c>
      <c r="B12" t="s">
        <v>43</v>
      </c>
      <c r="C12" t="str">
        <f t="shared" si="0"/>
        <v>MYS</v>
      </c>
      <c r="D12" t="str">
        <f t="shared" si="1"/>
        <v>014</v>
      </c>
      <c r="E12" t="str">
        <f t="shared" si="2"/>
        <v>MYS-014</v>
      </c>
      <c r="F12" t="s">
        <v>44</v>
      </c>
      <c r="G12" t="s">
        <v>29</v>
      </c>
      <c r="H12" t="s">
        <v>30</v>
      </c>
      <c r="I12">
        <f t="shared" si="3"/>
        <v>7</v>
      </c>
      <c r="J12" t="s">
        <v>203</v>
      </c>
      <c r="K12">
        <v>2</v>
      </c>
      <c r="L12" t="str">
        <f t="shared" si="4"/>
        <v>Standard Order</v>
      </c>
      <c r="M12" t="str" cm="1">
        <f t="array" ref="M12">_xlfn.IFS(K12&gt;=25,"Bulk",K12&gt;=10,"Large",K12&lt;10,"Standard")</f>
        <v>Standard</v>
      </c>
      <c r="N12" s="2">
        <v>26.76</v>
      </c>
      <c r="O12" s="2">
        <f t="shared" si="6"/>
        <v>53.52</v>
      </c>
      <c r="P12" s="3">
        <v>46181</v>
      </c>
      <c r="Q12" s="5"/>
      <c r="R12" s="5" t="str">
        <f t="shared" si="5"/>
        <v>No Discount</v>
      </c>
      <c r="T12" s="4"/>
      <c r="U12" s="7">
        <f>O12*(1-T12)</f>
        <v>53.52</v>
      </c>
      <c r="V12" s="4"/>
    </row>
    <row r="13" spans="1:23" x14ac:dyDescent="0.25">
      <c r="A13">
        <v>100012</v>
      </c>
      <c r="B13" t="s">
        <v>45</v>
      </c>
      <c r="C13" t="str">
        <f t="shared" si="0"/>
        <v>SCI</v>
      </c>
      <c r="D13" t="str">
        <f t="shared" si="1"/>
        <v>069</v>
      </c>
      <c r="E13" t="str">
        <f t="shared" si="2"/>
        <v>SCI-069</v>
      </c>
      <c r="F13" t="s">
        <v>46</v>
      </c>
      <c r="G13" t="s">
        <v>15</v>
      </c>
      <c r="H13" t="s">
        <v>23</v>
      </c>
      <c r="I13">
        <f t="shared" si="3"/>
        <v>15</v>
      </c>
      <c r="J13" t="s">
        <v>203</v>
      </c>
      <c r="K13">
        <v>10</v>
      </c>
      <c r="L13" t="str">
        <f t="shared" si="4"/>
        <v>Large Order</v>
      </c>
      <c r="M13" t="str" cm="1">
        <f t="array" ref="M13">_xlfn.IFS(K13&gt;=25,"Bulk",K13&gt;=10,"Large",K13&lt;10,"Standard")</f>
        <v>Large</v>
      </c>
      <c r="N13" s="2">
        <v>33.18</v>
      </c>
      <c r="O13" s="2">
        <f t="shared" si="6"/>
        <v>331.8</v>
      </c>
      <c r="P13" s="3">
        <v>46181</v>
      </c>
      <c r="Q13" s="5"/>
      <c r="R13" s="5" t="str">
        <f t="shared" si="5"/>
        <v>No Discount</v>
      </c>
      <c r="T13" s="4"/>
      <c r="U13" s="7">
        <f>O13*(1-T13)</f>
        <v>331.8</v>
      </c>
      <c r="V13" s="4"/>
      <c r="W13" t="s">
        <v>199</v>
      </c>
    </row>
    <row r="14" spans="1:23" x14ac:dyDescent="0.25">
      <c r="A14">
        <v>100013</v>
      </c>
      <c r="B14" t="s">
        <v>47</v>
      </c>
      <c r="C14" t="str">
        <f t="shared" si="0"/>
        <v>HIS</v>
      </c>
      <c r="D14" t="str">
        <f t="shared" si="1"/>
        <v>061</v>
      </c>
      <c r="E14" t="str">
        <f t="shared" si="2"/>
        <v>HIS-061</v>
      </c>
      <c r="F14" t="s">
        <v>48</v>
      </c>
      <c r="G14" t="s">
        <v>49</v>
      </c>
      <c r="H14" t="s">
        <v>16</v>
      </c>
      <c r="I14">
        <f t="shared" si="3"/>
        <v>18</v>
      </c>
      <c r="J14" t="s">
        <v>203</v>
      </c>
      <c r="K14">
        <v>11</v>
      </c>
      <c r="L14" t="str">
        <f t="shared" si="4"/>
        <v>Large Order</v>
      </c>
      <c r="M14" t="str" cm="1">
        <f t="array" ref="M14">_xlfn.IFS(K14&gt;=25,"Bulk",K14&gt;=10,"Large",K14&lt;10,"Standard")</f>
        <v>Large</v>
      </c>
      <c r="N14" s="2">
        <v>30.81</v>
      </c>
      <c r="O14" s="2">
        <f t="shared" si="6"/>
        <v>338.90999999999997</v>
      </c>
      <c r="P14" s="3">
        <v>46182</v>
      </c>
      <c r="Q14" s="5"/>
      <c r="R14" s="5" t="str">
        <f t="shared" si="5"/>
        <v>No Discount</v>
      </c>
      <c r="T14" s="4"/>
      <c r="U14" s="7">
        <f>O14*(1-T14)</f>
        <v>338.90999999999997</v>
      </c>
      <c r="V14" s="4"/>
      <c r="W14" t="s">
        <v>200</v>
      </c>
    </row>
    <row r="15" spans="1:23" x14ac:dyDescent="0.25">
      <c r="A15">
        <v>100014</v>
      </c>
      <c r="B15" t="s">
        <v>50</v>
      </c>
      <c r="C15" t="str">
        <f t="shared" si="0"/>
        <v>BIO</v>
      </c>
      <c r="D15" t="str">
        <f t="shared" si="1"/>
        <v>071</v>
      </c>
      <c r="E15" t="str">
        <f t="shared" si="2"/>
        <v>BIO-071</v>
      </c>
      <c r="F15" t="s">
        <v>51</v>
      </c>
      <c r="G15" t="s">
        <v>49</v>
      </c>
      <c r="H15" t="s">
        <v>52</v>
      </c>
      <c r="I15">
        <f t="shared" si="3"/>
        <v>9</v>
      </c>
      <c r="J15" t="s">
        <v>59</v>
      </c>
      <c r="K15">
        <v>21</v>
      </c>
      <c r="L15" t="str">
        <f t="shared" si="4"/>
        <v>Large Order</v>
      </c>
      <c r="M15" t="str" cm="1">
        <f t="array" ref="M15">_xlfn.IFS(K15&gt;=25,"Bulk",K15&gt;=10,"Large",K15&lt;10,"Standard")</f>
        <v>Large</v>
      </c>
      <c r="N15" s="2">
        <v>14.46</v>
      </c>
      <c r="O15" s="2">
        <f t="shared" si="6"/>
        <v>303.66000000000003</v>
      </c>
      <c r="P15" s="3">
        <v>46182</v>
      </c>
      <c r="Q15" s="5"/>
      <c r="R15" s="5" t="str">
        <f t="shared" si="5"/>
        <v>No Discount</v>
      </c>
      <c r="T15" s="4"/>
      <c r="U15" s="7">
        <f>O15*(1-T15)</f>
        <v>303.66000000000003</v>
      </c>
      <c r="V15" s="4"/>
    </row>
    <row r="16" spans="1:23" x14ac:dyDescent="0.25">
      <c r="A16">
        <v>100015</v>
      </c>
      <c r="B16" t="s">
        <v>53</v>
      </c>
      <c r="C16" t="str">
        <f t="shared" si="0"/>
        <v>YAD</v>
      </c>
      <c r="D16" t="str">
        <f t="shared" si="1"/>
        <v>063</v>
      </c>
      <c r="E16" t="str">
        <f t="shared" si="2"/>
        <v>YAD-063</v>
      </c>
      <c r="F16" t="s">
        <v>54</v>
      </c>
      <c r="G16" t="s">
        <v>29</v>
      </c>
      <c r="H16" t="s">
        <v>55</v>
      </c>
      <c r="I16">
        <f t="shared" si="3"/>
        <v>11</v>
      </c>
      <c r="J16" t="s">
        <v>203</v>
      </c>
      <c r="K16">
        <v>1</v>
      </c>
      <c r="L16" t="str">
        <f t="shared" si="4"/>
        <v>Standard Order</v>
      </c>
      <c r="M16" t="str" cm="1">
        <f t="array" ref="M16">_xlfn.IFS(K16&gt;=25,"Bulk",K16&gt;=10,"Large",K16&lt;10,"Standard")</f>
        <v>Standard</v>
      </c>
      <c r="N16" s="2">
        <v>20.420000000000002</v>
      </c>
      <c r="O16" s="2">
        <f t="shared" si="6"/>
        <v>20.420000000000002</v>
      </c>
      <c r="P16" s="3">
        <v>46183</v>
      </c>
      <c r="Q16" s="5"/>
      <c r="R16" s="5" t="str">
        <f t="shared" si="5"/>
        <v>No Discount</v>
      </c>
      <c r="T16" s="4"/>
      <c r="U16" s="7">
        <f>O16*(1-T16)</f>
        <v>20.420000000000002</v>
      </c>
      <c r="V16" s="4"/>
    </row>
    <row r="17" spans="1:22" x14ac:dyDescent="0.25">
      <c r="A17">
        <v>100016</v>
      </c>
      <c r="B17" t="s">
        <v>53</v>
      </c>
      <c r="C17" t="str">
        <f t="shared" si="0"/>
        <v>YAD</v>
      </c>
      <c r="D17" t="str">
        <f t="shared" si="1"/>
        <v>063</v>
      </c>
      <c r="E17" t="str">
        <f t="shared" si="2"/>
        <v>YAD-063</v>
      </c>
      <c r="F17" t="s">
        <v>56</v>
      </c>
      <c r="G17" t="s">
        <v>42</v>
      </c>
      <c r="H17" t="s">
        <v>55</v>
      </c>
      <c r="I17">
        <f t="shared" si="3"/>
        <v>11</v>
      </c>
      <c r="J17" t="s">
        <v>203</v>
      </c>
      <c r="K17">
        <v>3</v>
      </c>
      <c r="L17" t="str">
        <f t="shared" si="4"/>
        <v>Standard Order</v>
      </c>
      <c r="M17" t="str" cm="1">
        <f t="array" ref="M17">_xlfn.IFS(K17&gt;=25,"Bulk",K17&gt;=10,"Large",K17&lt;10,"Standard")</f>
        <v>Standard</v>
      </c>
      <c r="N17" s="2">
        <v>23.06</v>
      </c>
      <c r="O17" s="2">
        <f t="shared" si="6"/>
        <v>69.179999999999993</v>
      </c>
      <c r="P17" s="3">
        <v>46184</v>
      </c>
      <c r="Q17" s="5"/>
      <c r="R17" s="5" t="str">
        <f t="shared" si="5"/>
        <v>No Discount</v>
      </c>
      <c r="T17" s="4"/>
      <c r="U17" s="7">
        <f>O17*(1-T17)</f>
        <v>69.179999999999993</v>
      </c>
      <c r="V17" s="4"/>
    </row>
    <row r="18" spans="1:22" x14ac:dyDescent="0.25">
      <c r="A18">
        <v>100017</v>
      </c>
      <c r="B18" t="s">
        <v>57</v>
      </c>
      <c r="C18" t="str">
        <f t="shared" si="0"/>
        <v>NFC</v>
      </c>
      <c r="D18" t="str">
        <f t="shared" si="1"/>
        <v>070</v>
      </c>
      <c r="E18" t="str">
        <f t="shared" si="2"/>
        <v>NFC-070</v>
      </c>
      <c r="F18" t="s">
        <v>58</v>
      </c>
      <c r="G18" t="s">
        <v>11</v>
      </c>
      <c r="H18" t="s">
        <v>59</v>
      </c>
      <c r="I18">
        <f t="shared" si="3"/>
        <v>10</v>
      </c>
      <c r="J18" t="s">
        <v>59</v>
      </c>
      <c r="K18">
        <v>2</v>
      </c>
      <c r="L18" t="str">
        <f t="shared" si="4"/>
        <v>Standard Order</v>
      </c>
      <c r="M18" t="str" cm="1">
        <f t="array" ref="M18">_xlfn.IFS(K18&gt;=25,"Bulk",K18&gt;=10,"Large",K18&lt;10,"Standard")</f>
        <v>Standard</v>
      </c>
      <c r="N18" s="2">
        <v>31.46</v>
      </c>
      <c r="O18" s="2">
        <f t="shared" si="6"/>
        <v>62.92</v>
      </c>
      <c r="P18" s="3">
        <v>46184</v>
      </c>
      <c r="Q18" s="5"/>
      <c r="R18" s="5" t="str">
        <f t="shared" si="5"/>
        <v>No Discount</v>
      </c>
      <c r="T18" s="4"/>
      <c r="U18" s="7">
        <f>O18*(1-T18)</f>
        <v>62.92</v>
      </c>
      <c r="V18" s="4"/>
    </row>
    <row r="19" spans="1:22" x14ac:dyDescent="0.25">
      <c r="A19">
        <v>100018</v>
      </c>
      <c r="B19" t="s">
        <v>60</v>
      </c>
      <c r="C19" t="str">
        <f t="shared" si="0"/>
        <v>SLF</v>
      </c>
      <c r="D19" t="str">
        <f t="shared" si="1"/>
        <v>064</v>
      </c>
      <c r="E19" t="str">
        <f t="shared" si="2"/>
        <v>SLF-064</v>
      </c>
      <c r="F19" t="s">
        <v>26</v>
      </c>
      <c r="G19" t="s">
        <v>29</v>
      </c>
      <c r="H19" t="s">
        <v>61</v>
      </c>
      <c r="I19">
        <f t="shared" si="3"/>
        <v>9</v>
      </c>
      <c r="J19" t="s">
        <v>59</v>
      </c>
      <c r="K19">
        <v>1</v>
      </c>
      <c r="L19" t="str">
        <f t="shared" si="4"/>
        <v>Standard Order</v>
      </c>
      <c r="M19" t="str" cm="1">
        <f t="array" ref="M19">_xlfn.IFS(K19&gt;=25,"Bulk",K19&gt;=10,"Large",K19&lt;10,"Standard")</f>
        <v>Standard</v>
      </c>
      <c r="N19" s="2">
        <v>27.37</v>
      </c>
      <c r="O19" s="2">
        <f t="shared" si="6"/>
        <v>27.37</v>
      </c>
      <c r="P19" s="3">
        <v>46185</v>
      </c>
      <c r="Q19" s="5"/>
      <c r="R19" s="5" t="str">
        <f t="shared" si="5"/>
        <v>No Discount</v>
      </c>
      <c r="T19" s="4"/>
      <c r="U19" s="7">
        <f>O19*(1-T19)</f>
        <v>27.37</v>
      </c>
      <c r="V19" s="4"/>
    </row>
    <row r="20" spans="1:22" x14ac:dyDescent="0.25">
      <c r="A20">
        <v>100019</v>
      </c>
      <c r="B20" t="s">
        <v>62</v>
      </c>
      <c r="C20" t="str">
        <f t="shared" si="0"/>
        <v>MYS</v>
      </c>
      <c r="D20" t="str">
        <f t="shared" si="1"/>
        <v>027</v>
      </c>
      <c r="E20" t="str">
        <f t="shared" si="2"/>
        <v>MYS-027</v>
      </c>
      <c r="F20" t="s">
        <v>63</v>
      </c>
      <c r="G20" t="s">
        <v>15</v>
      </c>
      <c r="H20" t="s">
        <v>30</v>
      </c>
      <c r="I20">
        <f t="shared" si="3"/>
        <v>7</v>
      </c>
      <c r="J20" t="s">
        <v>203</v>
      </c>
      <c r="K20">
        <v>10</v>
      </c>
      <c r="L20" t="str">
        <f t="shared" si="4"/>
        <v>Large Order</v>
      </c>
      <c r="M20" t="str" cm="1">
        <f t="array" ref="M20">_xlfn.IFS(K20&gt;=25,"Bulk",K20&gt;=10,"Large",K20&lt;10,"Standard")</f>
        <v>Large</v>
      </c>
      <c r="N20" s="2">
        <v>32.28</v>
      </c>
      <c r="O20" s="2">
        <f t="shared" si="6"/>
        <v>322.8</v>
      </c>
      <c r="P20" s="3">
        <v>46186</v>
      </c>
      <c r="Q20" s="5"/>
      <c r="R20" s="5" t="str">
        <f t="shared" si="5"/>
        <v>Discount</v>
      </c>
      <c r="S20" t="s">
        <v>24</v>
      </c>
      <c r="T20" s="4">
        <v>0.15</v>
      </c>
      <c r="U20" s="7">
        <f>O20*(1-T20)</f>
        <v>274.38</v>
      </c>
      <c r="V20" s="4"/>
    </row>
    <row r="21" spans="1:22" x14ac:dyDescent="0.25">
      <c r="A21">
        <v>100020</v>
      </c>
      <c r="B21" t="s">
        <v>50</v>
      </c>
      <c r="C21" t="str">
        <f t="shared" si="0"/>
        <v>BIO</v>
      </c>
      <c r="D21" t="str">
        <f t="shared" si="1"/>
        <v>071</v>
      </c>
      <c r="E21" t="str">
        <f t="shared" si="2"/>
        <v>BIO-071</v>
      </c>
      <c r="F21" t="s">
        <v>64</v>
      </c>
      <c r="G21" t="s">
        <v>42</v>
      </c>
      <c r="H21" t="s">
        <v>52</v>
      </c>
      <c r="I21">
        <f t="shared" si="3"/>
        <v>9</v>
      </c>
      <c r="J21" t="s">
        <v>59</v>
      </c>
      <c r="K21">
        <v>2</v>
      </c>
      <c r="L21" t="str">
        <f t="shared" si="4"/>
        <v>Standard Order</v>
      </c>
      <c r="M21" t="str" cm="1">
        <f t="array" ref="M21">_xlfn.IFS(K21&gt;=25,"Bulk",K21&gt;=10,"Large",K21&lt;10,"Standard")</f>
        <v>Standard</v>
      </c>
      <c r="N21" s="2">
        <v>22.48</v>
      </c>
      <c r="O21" s="2">
        <f t="shared" si="6"/>
        <v>44.96</v>
      </c>
      <c r="P21" s="3">
        <v>46186</v>
      </c>
      <c r="Q21" s="5"/>
      <c r="R21" s="5" t="str">
        <f t="shared" si="5"/>
        <v>No Discount</v>
      </c>
      <c r="T21" s="4"/>
      <c r="U21" s="7">
        <f>O21*(1-T21)</f>
        <v>44.96</v>
      </c>
      <c r="V21" s="4"/>
    </row>
    <row r="22" spans="1:22" x14ac:dyDescent="0.25">
      <c r="A22">
        <v>100021</v>
      </c>
      <c r="B22" t="s">
        <v>35</v>
      </c>
      <c r="C22" t="str">
        <f t="shared" si="0"/>
        <v>ROM</v>
      </c>
      <c r="D22" t="str">
        <f t="shared" si="1"/>
        <v>067</v>
      </c>
      <c r="E22" t="str">
        <f t="shared" si="2"/>
        <v>ROM-067</v>
      </c>
      <c r="F22" t="s">
        <v>65</v>
      </c>
      <c r="G22" t="s">
        <v>11</v>
      </c>
      <c r="H22" t="s">
        <v>37</v>
      </c>
      <c r="I22">
        <f t="shared" si="3"/>
        <v>7</v>
      </c>
      <c r="J22" t="s">
        <v>203</v>
      </c>
      <c r="K22">
        <v>1</v>
      </c>
      <c r="L22" t="str">
        <f t="shared" si="4"/>
        <v>Standard Order</v>
      </c>
      <c r="M22" t="str" cm="1">
        <f t="array" ref="M22">_xlfn.IFS(K22&gt;=25,"Bulk",K22&gt;=10,"Large",K22&lt;10,"Standard")</f>
        <v>Standard</v>
      </c>
      <c r="N22" s="2">
        <v>31.66</v>
      </c>
      <c r="O22" s="2">
        <f t="shared" si="6"/>
        <v>31.66</v>
      </c>
      <c r="P22" s="3">
        <v>46187</v>
      </c>
      <c r="Q22" s="5"/>
      <c r="R22" s="5" t="str">
        <f t="shared" si="5"/>
        <v>No Discount</v>
      </c>
      <c r="T22" s="4"/>
      <c r="U22" s="7">
        <f>O22*(1-T22)</f>
        <v>31.66</v>
      </c>
      <c r="V22" s="4"/>
    </row>
    <row r="23" spans="1:22" x14ac:dyDescent="0.25">
      <c r="A23">
        <v>100022</v>
      </c>
      <c r="B23" t="s">
        <v>66</v>
      </c>
      <c r="C23" t="str">
        <f t="shared" si="0"/>
        <v>NFC</v>
      </c>
      <c r="D23" t="str">
        <f t="shared" si="1"/>
        <v>031</v>
      </c>
      <c r="E23" t="str">
        <f t="shared" si="2"/>
        <v>NFC-031</v>
      </c>
      <c r="F23" t="s">
        <v>67</v>
      </c>
      <c r="G23" t="s">
        <v>49</v>
      </c>
      <c r="H23" t="s">
        <v>59</v>
      </c>
      <c r="I23">
        <f t="shared" si="3"/>
        <v>10</v>
      </c>
      <c r="J23" t="s">
        <v>59</v>
      </c>
      <c r="K23">
        <v>16</v>
      </c>
      <c r="L23" t="str">
        <f t="shared" si="4"/>
        <v>Large Order</v>
      </c>
      <c r="M23" t="str" cm="1">
        <f t="array" ref="M23">_xlfn.IFS(K23&gt;=25,"Bulk",K23&gt;=10,"Large",K23&lt;10,"Standard")</f>
        <v>Large</v>
      </c>
      <c r="N23" s="2">
        <v>28.75</v>
      </c>
      <c r="O23" s="2">
        <f t="shared" si="6"/>
        <v>460</v>
      </c>
      <c r="P23" s="3">
        <v>46188</v>
      </c>
      <c r="Q23" s="5"/>
      <c r="R23" s="5" t="str">
        <f t="shared" si="5"/>
        <v>Discount</v>
      </c>
      <c r="S23" t="s">
        <v>24</v>
      </c>
      <c r="T23" s="4">
        <v>0.15</v>
      </c>
      <c r="U23" s="7">
        <f>O23*(1-T23)</f>
        <v>391</v>
      </c>
      <c r="V23" s="4"/>
    </row>
    <row r="24" spans="1:22" x14ac:dyDescent="0.25">
      <c r="A24">
        <v>100023</v>
      </c>
      <c r="B24" t="s">
        <v>69</v>
      </c>
      <c r="C24" t="str">
        <f t="shared" si="0"/>
        <v>BIO</v>
      </c>
      <c r="D24" t="str">
        <f t="shared" si="1"/>
        <v>058</v>
      </c>
      <c r="E24" t="str">
        <f t="shared" si="2"/>
        <v>BIO-058</v>
      </c>
      <c r="F24" t="s">
        <v>70</v>
      </c>
      <c r="G24" t="s">
        <v>49</v>
      </c>
      <c r="H24" t="s">
        <v>52</v>
      </c>
      <c r="I24">
        <f t="shared" si="3"/>
        <v>9</v>
      </c>
      <c r="J24" t="s">
        <v>59</v>
      </c>
      <c r="K24">
        <v>8</v>
      </c>
      <c r="L24" t="str">
        <f t="shared" si="4"/>
        <v>Standard Order</v>
      </c>
      <c r="M24" t="str" cm="1">
        <f t="array" ref="M24">_xlfn.IFS(K24&gt;=25,"Bulk",K24&gt;=10,"Large",K24&lt;10,"Standard")</f>
        <v>Standard</v>
      </c>
      <c r="N24" s="2">
        <v>21.54</v>
      </c>
      <c r="O24" s="2">
        <f t="shared" si="6"/>
        <v>172.32</v>
      </c>
      <c r="P24" s="3">
        <v>46188</v>
      </c>
      <c r="Q24" s="5"/>
      <c r="R24" s="5" t="str">
        <f t="shared" si="5"/>
        <v>No Discount</v>
      </c>
      <c r="T24" s="4"/>
      <c r="U24" s="7">
        <f>O24*(1-T24)</f>
        <v>172.32</v>
      </c>
      <c r="V24" s="4"/>
    </row>
    <row r="25" spans="1:22" x14ac:dyDescent="0.25">
      <c r="A25">
        <v>100024</v>
      </c>
      <c r="B25" t="s">
        <v>50</v>
      </c>
      <c r="C25" t="str">
        <f t="shared" si="0"/>
        <v>BIO</v>
      </c>
      <c r="D25" t="str">
        <f t="shared" si="1"/>
        <v>071</v>
      </c>
      <c r="E25" t="str">
        <f t="shared" si="2"/>
        <v>BIO-071</v>
      </c>
      <c r="F25" t="s">
        <v>71</v>
      </c>
      <c r="G25" t="s">
        <v>29</v>
      </c>
      <c r="H25" t="s">
        <v>52</v>
      </c>
      <c r="I25">
        <f t="shared" si="3"/>
        <v>9</v>
      </c>
      <c r="J25" t="s">
        <v>59</v>
      </c>
      <c r="K25">
        <v>2</v>
      </c>
      <c r="L25" t="str">
        <f t="shared" si="4"/>
        <v>Standard Order</v>
      </c>
      <c r="M25" t="str" cm="1">
        <f t="array" ref="M25">_xlfn.IFS(K25&gt;=25,"Bulk",K25&gt;=10,"Large",K25&lt;10,"Standard")</f>
        <v>Standard</v>
      </c>
      <c r="N25" s="2">
        <v>33.520000000000003</v>
      </c>
      <c r="O25" s="2">
        <f t="shared" si="6"/>
        <v>67.040000000000006</v>
      </c>
      <c r="P25" s="3">
        <v>46189</v>
      </c>
      <c r="Q25" s="5"/>
      <c r="R25" s="5" t="str">
        <f t="shared" si="5"/>
        <v>No Discount</v>
      </c>
      <c r="T25" s="4"/>
      <c r="U25" s="7">
        <f>O25*(1-T25)</f>
        <v>67.040000000000006</v>
      </c>
      <c r="V25" s="4"/>
    </row>
    <row r="26" spans="1:22" x14ac:dyDescent="0.25">
      <c r="A26">
        <v>100025</v>
      </c>
      <c r="B26" t="s">
        <v>72</v>
      </c>
      <c r="C26" t="str">
        <f t="shared" si="0"/>
        <v>POE</v>
      </c>
      <c r="D26" t="str">
        <f t="shared" si="1"/>
        <v>072</v>
      </c>
      <c r="E26" t="str">
        <f t="shared" si="2"/>
        <v>POE-072</v>
      </c>
      <c r="F26" t="s">
        <v>73</v>
      </c>
      <c r="G26" t="s">
        <v>29</v>
      </c>
      <c r="H26" t="s">
        <v>74</v>
      </c>
      <c r="I26">
        <f t="shared" si="3"/>
        <v>6</v>
      </c>
      <c r="J26" t="s">
        <v>59</v>
      </c>
      <c r="K26">
        <v>3</v>
      </c>
      <c r="L26" t="str">
        <f t="shared" si="4"/>
        <v>Standard Order</v>
      </c>
      <c r="M26" t="str" cm="1">
        <f t="array" ref="M26">_xlfn.IFS(K26&gt;=25,"Bulk",K26&gt;=10,"Large",K26&lt;10,"Standard")</f>
        <v>Standard</v>
      </c>
      <c r="N26" s="2">
        <v>34.17</v>
      </c>
      <c r="O26" s="2">
        <f t="shared" si="6"/>
        <v>102.51</v>
      </c>
      <c r="P26" s="3">
        <v>46190</v>
      </c>
      <c r="Q26" s="5"/>
      <c r="R26" s="5" t="str">
        <f t="shared" si="5"/>
        <v>No Discount</v>
      </c>
      <c r="T26" s="4"/>
      <c r="U26" s="7">
        <f>O26*(1-T26)</f>
        <v>102.51</v>
      </c>
      <c r="V26" s="4"/>
    </row>
    <row r="27" spans="1:22" x14ac:dyDescent="0.25">
      <c r="A27">
        <v>100026</v>
      </c>
      <c r="B27" t="s">
        <v>75</v>
      </c>
      <c r="C27" t="str">
        <f t="shared" si="0"/>
        <v>SCI</v>
      </c>
      <c r="D27" t="str">
        <f t="shared" si="1"/>
        <v>056</v>
      </c>
      <c r="E27" t="str">
        <f t="shared" si="2"/>
        <v>SCI-056</v>
      </c>
      <c r="F27" t="s">
        <v>58</v>
      </c>
      <c r="G27" t="s">
        <v>29</v>
      </c>
      <c r="H27" t="s">
        <v>23</v>
      </c>
      <c r="I27">
        <f t="shared" si="3"/>
        <v>15</v>
      </c>
      <c r="J27" t="s">
        <v>203</v>
      </c>
      <c r="K27">
        <v>11</v>
      </c>
      <c r="L27" t="str">
        <f t="shared" si="4"/>
        <v>Large Order</v>
      </c>
      <c r="M27" t="str" cm="1">
        <f t="array" ref="M27">_xlfn.IFS(K27&gt;=25,"Bulk",K27&gt;=10,"Large",K27&lt;10,"Standard")</f>
        <v>Large</v>
      </c>
      <c r="N27" s="2">
        <v>30.61</v>
      </c>
      <c r="O27" s="2">
        <f t="shared" si="6"/>
        <v>336.71</v>
      </c>
      <c r="P27" s="3">
        <v>46190</v>
      </c>
      <c r="Q27" s="5"/>
      <c r="R27" s="5" t="str">
        <f t="shared" si="5"/>
        <v>No Discount</v>
      </c>
      <c r="T27" s="4"/>
      <c r="U27" s="7">
        <f>O27*(1-T27)</f>
        <v>336.71</v>
      </c>
      <c r="V27" s="4"/>
    </row>
    <row r="28" spans="1:22" x14ac:dyDescent="0.25">
      <c r="A28">
        <v>100027</v>
      </c>
      <c r="B28" t="s">
        <v>76</v>
      </c>
      <c r="C28" t="str">
        <f t="shared" si="0"/>
        <v>NFC</v>
      </c>
      <c r="D28" t="str">
        <f t="shared" si="1"/>
        <v>057</v>
      </c>
      <c r="E28" t="str">
        <f t="shared" si="2"/>
        <v>NFC-057</v>
      </c>
      <c r="F28" t="s">
        <v>77</v>
      </c>
      <c r="G28" t="s">
        <v>15</v>
      </c>
      <c r="H28" t="s">
        <v>59</v>
      </c>
      <c r="I28">
        <f t="shared" si="3"/>
        <v>10</v>
      </c>
      <c r="J28" t="s">
        <v>59</v>
      </c>
      <c r="K28">
        <v>6</v>
      </c>
      <c r="L28" t="str">
        <f t="shared" si="4"/>
        <v>Standard Order</v>
      </c>
      <c r="M28" t="str" cm="1">
        <f t="array" ref="M28">_xlfn.IFS(K28&gt;=25,"Bulk",K28&gt;=10,"Large",K28&lt;10,"Standard")</f>
        <v>Standard</v>
      </c>
      <c r="N28" s="2">
        <v>9.89</v>
      </c>
      <c r="O28" s="2">
        <f t="shared" si="6"/>
        <v>59.34</v>
      </c>
      <c r="P28" s="3">
        <v>46191</v>
      </c>
      <c r="Q28" s="5"/>
      <c r="R28" s="5" t="str">
        <f t="shared" si="5"/>
        <v>No Discount</v>
      </c>
      <c r="T28" s="4"/>
      <c r="U28" s="7">
        <f>O28*(1-T28)</f>
        <v>59.34</v>
      </c>
      <c r="V28" s="4"/>
    </row>
    <row r="29" spans="1:22" x14ac:dyDescent="0.25">
      <c r="A29">
        <v>100028</v>
      </c>
      <c r="B29" t="s">
        <v>78</v>
      </c>
      <c r="C29" t="str">
        <f t="shared" si="0"/>
        <v>POE</v>
      </c>
      <c r="D29" t="str">
        <f t="shared" si="1"/>
        <v>007</v>
      </c>
      <c r="E29" t="str">
        <f t="shared" si="2"/>
        <v>POE-007</v>
      </c>
      <c r="F29" t="s">
        <v>67</v>
      </c>
      <c r="G29" t="s">
        <v>49</v>
      </c>
      <c r="H29" t="s">
        <v>74</v>
      </c>
      <c r="I29">
        <f t="shared" si="3"/>
        <v>6</v>
      </c>
      <c r="J29" t="s">
        <v>59</v>
      </c>
      <c r="K29">
        <v>20</v>
      </c>
      <c r="L29" t="str">
        <f t="shared" si="4"/>
        <v>Large Order</v>
      </c>
      <c r="M29" t="str" cm="1">
        <f t="array" ref="M29">_xlfn.IFS(K29&gt;=25,"Bulk",K29&gt;=10,"Large",K29&lt;10,"Standard")</f>
        <v>Large</v>
      </c>
      <c r="N29" s="2">
        <v>33.96</v>
      </c>
      <c r="O29" s="2">
        <f t="shared" si="6"/>
        <v>679.2</v>
      </c>
      <c r="P29" s="3">
        <v>46192</v>
      </c>
      <c r="Q29" s="5"/>
      <c r="R29" s="5" t="str">
        <f t="shared" si="5"/>
        <v>No Discount</v>
      </c>
      <c r="T29" s="4"/>
      <c r="U29" s="7">
        <f>O29*(1-T29)</f>
        <v>679.2</v>
      </c>
      <c r="V29" s="4"/>
    </row>
    <row r="30" spans="1:22" x14ac:dyDescent="0.25">
      <c r="A30">
        <v>100029</v>
      </c>
      <c r="B30" t="s">
        <v>79</v>
      </c>
      <c r="C30" t="str">
        <f t="shared" si="0"/>
        <v>THR</v>
      </c>
      <c r="D30" t="str">
        <f t="shared" si="1"/>
        <v>075</v>
      </c>
      <c r="E30" t="str">
        <f t="shared" si="2"/>
        <v>THR-075</v>
      </c>
      <c r="F30" t="s">
        <v>71</v>
      </c>
      <c r="G30" t="s">
        <v>29</v>
      </c>
      <c r="H30" t="s">
        <v>33</v>
      </c>
      <c r="I30">
        <f t="shared" si="3"/>
        <v>8</v>
      </c>
      <c r="J30" t="s">
        <v>203</v>
      </c>
      <c r="K30">
        <v>2</v>
      </c>
      <c r="L30" t="str">
        <f t="shared" si="4"/>
        <v>Standard Order</v>
      </c>
      <c r="M30" t="str" cm="1">
        <f t="array" ref="M30">_xlfn.IFS(K30&gt;=25,"Bulk",K30&gt;=10,"Large",K30&lt;10,"Standard")</f>
        <v>Standard</v>
      </c>
      <c r="N30" s="2">
        <v>17.260000000000002</v>
      </c>
      <c r="O30" s="2">
        <f t="shared" si="6"/>
        <v>34.520000000000003</v>
      </c>
      <c r="P30" s="3">
        <v>46192</v>
      </c>
      <c r="Q30" s="5"/>
      <c r="R30" s="5" t="str">
        <f t="shared" si="5"/>
        <v>Discount</v>
      </c>
      <c r="S30" t="s">
        <v>34</v>
      </c>
      <c r="T30" s="4">
        <v>7.4999999999999997E-2</v>
      </c>
      <c r="U30" s="7">
        <f>O30*(1-T30)</f>
        <v>31.931000000000004</v>
      </c>
      <c r="V30" s="4"/>
    </row>
    <row r="31" spans="1:22" x14ac:dyDescent="0.25">
      <c r="A31">
        <v>100030</v>
      </c>
      <c r="B31" t="s">
        <v>45</v>
      </c>
      <c r="C31" t="str">
        <f t="shared" si="0"/>
        <v>SCI</v>
      </c>
      <c r="D31" t="str">
        <f t="shared" si="1"/>
        <v>069</v>
      </c>
      <c r="E31" t="str">
        <f t="shared" si="2"/>
        <v>SCI-069</v>
      </c>
      <c r="F31" t="s">
        <v>70</v>
      </c>
      <c r="G31" t="s">
        <v>49</v>
      </c>
      <c r="H31" t="s">
        <v>23</v>
      </c>
      <c r="I31">
        <f t="shared" si="3"/>
        <v>15</v>
      </c>
      <c r="J31" t="s">
        <v>203</v>
      </c>
      <c r="K31">
        <v>79</v>
      </c>
      <c r="L31" t="str">
        <f t="shared" si="4"/>
        <v>Large Order</v>
      </c>
      <c r="M31" t="str" cm="1">
        <f t="array" ref="M31">_xlfn.IFS(K31&gt;=25,"Bulk",K31&gt;=10,"Large",K31&lt;10,"Standard")</f>
        <v>Bulk</v>
      </c>
      <c r="N31" s="2">
        <v>14.89</v>
      </c>
      <c r="O31" s="2">
        <f t="shared" si="6"/>
        <v>1176.31</v>
      </c>
      <c r="P31" s="3">
        <v>46193</v>
      </c>
      <c r="Q31" s="5"/>
      <c r="R31" s="5" t="str">
        <f t="shared" si="5"/>
        <v>No Discount</v>
      </c>
      <c r="T31" s="4"/>
      <c r="U31" s="7">
        <f>O31*(1-T31)</f>
        <v>1176.31</v>
      </c>
      <c r="V31" s="4"/>
    </row>
    <row r="32" spans="1:22" x14ac:dyDescent="0.25">
      <c r="A32">
        <v>100031</v>
      </c>
      <c r="B32" t="s">
        <v>72</v>
      </c>
      <c r="C32" t="str">
        <f t="shared" si="0"/>
        <v>POE</v>
      </c>
      <c r="D32" t="str">
        <f t="shared" si="1"/>
        <v>072</v>
      </c>
      <c r="E32" t="str">
        <f t="shared" si="2"/>
        <v>POE-072</v>
      </c>
      <c r="F32" t="s">
        <v>80</v>
      </c>
      <c r="G32" t="s">
        <v>15</v>
      </c>
      <c r="H32" t="s">
        <v>74</v>
      </c>
      <c r="I32">
        <f t="shared" si="3"/>
        <v>6</v>
      </c>
      <c r="J32" t="s">
        <v>59</v>
      </c>
      <c r="K32">
        <v>12</v>
      </c>
      <c r="L32" t="str">
        <f t="shared" si="4"/>
        <v>Large Order</v>
      </c>
      <c r="M32" t="str" cm="1">
        <f t="array" ref="M32">_xlfn.IFS(K32&gt;=25,"Bulk",K32&gt;=10,"Large",K32&lt;10,"Standard")</f>
        <v>Large</v>
      </c>
      <c r="N32" s="2">
        <v>24.15</v>
      </c>
      <c r="O32" s="2">
        <f t="shared" si="6"/>
        <v>289.79999999999995</v>
      </c>
      <c r="P32" s="3">
        <v>46194</v>
      </c>
      <c r="Q32" s="5"/>
      <c r="R32" s="5" t="str">
        <f t="shared" si="5"/>
        <v>No Discount</v>
      </c>
      <c r="T32" s="4"/>
      <c r="U32" s="7">
        <f>O32*(1-T32)</f>
        <v>289.79999999999995</v>
      </c>
      <c r="V32" s="4"/>
    </row>
    <row r="33" spans="1:22" x14ac:dyDescent="0.25">
      <c r="A33">
        <v>100032</v>
      </c>
      <c r="B33" t="s">
        <v>81</v>
      </c>
      <c r="C33" t="str">
        <f t="shared" si="0"/>
        <v>POE</v>
      </c>
      <c r="D33" t="str">
        <f t="shared" si="1"/>
        <v>020</v>
      </c>
      <c r="E33" t="str">
        <f t="shared" si="2"/>
        <v>POE-020</v>
      </c>
      <c r="F33" t="s">
        <v>48</v>
      </c>
      <c r="G33" t="s">
        <v>49</v>
      </c>
      <c r="H33" t="s">
        <v>74</v>
      </c>
      <c r="I33">
        <f t="shared" si="3"/>
        <v>6</v>
      </c>
      <c r="J33" t="s">
        <v>59</v>
      </c>
      <c r="K33">
        <v>13</v>
      </c>
      <c r="L33" t="str">
        <f t="shared" si="4"/>
        <v>Large Order</v>
      </c>
      <c r="M33" t="str" cm="1">
        <f t="array" ref="M33">_xlfn.IFS(K33&gt;=25,"Bulk",K33&gt;=10,"Large",K33&lt;10,"Standard")</f>
        <v>Large</v>
      </c>
      <c r="N33" s="2">
        <v>12.45</v>
      </c>
      <c r="O33" s="2">
        <f t="shared" si="6"/>
        <v>161.85</v>
      </c>
      <c r="P33" s="3">
        <v>46194</v>
      </c>
      <c r="Q33" s="5"/>
      <c r="R33" s="5" t="str">
        <f t="shared" si="5"/>
        <v>Discount</v>
      </c>
      <c r="S33" t="s">
        <v>24</v>
      </c>
      <c r="T33" s="4">
        <v>0.15</v>
      </c>
      <c r="U33" s="7">
        <f>O33*(1-T33)</f>
        <v>137.57249999999999</v>
      </c>
      <c r="V33" s="4"/>
    </row>
    <row r="34" spans="1:22" x14ac:dyDescent="0.25">
      <c r="A34">
        <v>100033</v>
      </c>
      <c r="B34" t="s">
        <v>82</v>
      </c>
      <c r="C34" t="str">
        <f t="shared" si="0"/>
        <v>HIS</v>
      </c>
      <c r="D34" t="str">
        <f t="shared" si="1"/>
        <v>022</v>
      </c>
      <c r="E34" t="str">
        <f t="shared" si="2"/>
        <v>HIS-022</v>
      </c>
      <c r="F34" t="s">
        <v>83</v>
      </c>
      <c r="G34" t="s">
        <v>15</v>
      </c>
      <c r="H34" t="s">
        <v>16</v>
      </c>
      <c r="I34">
        <f t="shared" si="3"/>
        <v>18</v>
      </c>
      <c r="J34" t="s">
        <v>203</v>
      </c>
      <c r="K34">
        <v>4</v>
      </c>
      <c r="L34" t="str">
        <f t="shared" si="4"/>
        <v>Standard Order</v>
      </c>
      <c r="M34" t="str" cm="1">
        <f t="array" ref="M34">_xlfn.IFS(K34&gt;=25,"Bulk",K34&gt;=10,"Large",K34&lt;10,"Standard")</f>
        <v>Standard</v>
      </c>
      <c r="N34" s="2">
        <v>31.53</v>
      </c>
      <c r="O34" s="2">
        <f t="shared" si="6"/>
        <v>126.12</v>
      </c>
      <c r="P34" s="3">
        <v>46195</v>
      </c>
      <c r="Q34" s="5"/>
      <c r="R34" s="5" t="str">
        <f t="shared" si="5"/>
        <v>No Discount</v>
      </c>
      <c r="T34" s="4"/>
      <c r="U34" s="7">
        <f>O34*(1-T34)</f>
        <v>126.12</v>
      </c>
      <c r="V34" s="4"/>
    </row>
    <row r="35" spans="1:22" x14ac:dyDescent="0.25">
      <c r="A35">
        <v>100034</v>
      </c>
      <c r="B35" t="s">
        <v>84</v>
      </c>
      <c r="C35" t="str">
        <f t="shared" si="0"/>
        <v>MYS</v>
      </c>
      <c r="D35" t="str">
        <f t="shared" si="1"/>
        <v>040</v>
      </c>
      <c r="E35" t="str">
        <f t="shared" si="2"/>
        <v>MYS-040</v>
      </c>
      <c r="F35" t="s">
        <v>41</v>
      </c>
      <c r="G35" t="s">
        <v>42</v>
      </c>
      <c r="H35" t="s">
        <v>30</v>
      </c>
      <c r="I35">
        <f t="shared" si="3"/>
        <v>7</v>
      </c>
      <c r="J35" t="s">
        <v>203</v>
      </c>
      <c r="K35">
        <v>7</v>
      </c>
      <c r="L35" t="str">
        <f t="shared" si="4"/>
        <v>Standard Order</v>
      </c>
      <c r="M35" t="str" cm="1">
        <f t="array" ref="M35">_xlfn.IFS(K35&gt;=25,"Bulk",K35&gt;=10,"Large",K35&lt;10,"Standard")</f>
        <v>Standard</v>
      </c>
      <c r="N35" s="2">
        <v>15.54</v>
      </c>
      <c r="O35" s="2">
        <f t="shared" si="6"/>
        <v>108.78</v>
      </c>
      <c r="P35" s="3">
        <v>46196</v>
      </c>
      <c r="Q35" s="5"/>
      <c r="R35" s="5" t="str">
        <f t="shared" si="5"/>
        <v>No Discount</v>
      </c>
      <c r="T35" s="4"/>
      <c r="U35" s="7">
        <f>O35*(1-T35)</f>
        <v>108.78</v>
      </c>
      <c r="V35" s="4"/>
    </row>
    <row r="36" spans="1:22" x14ac:dyDescent="0.25">
      <c r="A36">
        <v>100035</v>
      </c>
      <c r="B36" t="s">
        <v>85</v>
      </c>
      <c r="C36" t="str">
        <f t="shared" si="0"/>
        <v>MYS</v>
      </c>
      <c r="D36" t="str">
        <f t="shared" si="1"/>
        <v>053</v>
      </c>
      <c r="E36" t="str">
        <f t="shared" si="2"/>
        <v>MYS-053</v>
      </c>
      <c r="F36" t="s">
        <v>39</v>
      </c>
      <c r="G36" t="s">
        <v>29</v>
      </c>
      <c r="H36" t="s">
        <v>30</v>
      </c>
      <c r="I36">
        <f t="shared" si="3"/>
        <v>7</v>
      </c>
      <c r="J36" t="s">
        <v>203</v>
      </c>
      <c r="K36">
        <v>3</v>
      </c>
      <c r="L36" t="str">
        <f t="shared" si="4"/>
        <v>Standard Order</v>
      </c>
      <c r="M36" t="str" cm="1">
        <f t="array" ref="M36">_xlfn.IFS(K36&gt;=25,"Bulk",K36&gt;=10,"Large",K36&lt;10,"Standard")</f>
        <v>Standard</v>
      </c>
      <c r="N36" s="2">
        <v>26.09</v>
      </c>
      <c r="O36" s="2">
        <f t="shared" si="6"/>
        <v>78.27</v>
      </c>
      <c r="P36" s="3">
        <v>46196</v>
      </c>
      <c r="Q36" s="5"/>
      <c r="R36" s="5" t="str">
        <f t="shared" si="5"/>
        <v>No Discount</v>
      </c>
      <c r="T36" s="4"/>
      <c r="U36" s="7">
        <f>O36*(1-T36)</f>
        <v>78.27</v>
      </c>
      <c r="V36" s="4"/>
    </row>
    <row r="37" spans="1:22" x14ac:dyDescent="0.25">
      <c r="A37">
        <v>100036</v>
      </c>
      <c r="B37" t="s">
        <v>86</v>
      </c>
      <c r="C37" t="str">
        <f t="shared" si="0"/>
        <v>GRN</v>
      </c>
      <c r="D37" t="str">
        <f t="shared" si="1"/>
        <v>052</v>
      </c>
      <c r="E37" t="str">
        <f t="shared" si="2"/>
        <v>GRN-052</v>
      </c>
      <c r="F37" t="s">
        <v>87</v>
      </c>
      <c r="G37" t="s">
        <v>11</v>
      </c>
      <c r="H37" t="s">
        <v>40</v>
      </c>
      <c r="I37">
        <f t="shared" si="3"/>
        <v>13</v>
      </c>
      <c r="J37" t="s">
        <v>203</v>
      </c>
      <c r="K37">
        <v>2</v>
      </c>
      <c r="L37" t="str">
        <f t="shared" si="4"/>
        <v>Standard Order</v>
      </c>
      <c r="M37" t="str" cm="1">
        <f t="array" ref="M37">_xlfn.IFS(K37&gt;=25,"Bulk",K37&gt;=10,"Large",K37&lt;10,"Standard")</f>
        <v>Standard</v>
      </c>
      <c r="N37" s="2">
        <v>8.99</v>
      </c>
      <c r="O37" s="2">
        <f t="shared" si="6"/>
        <v>17.98</v>
      </c>
      <c r="P37" s="3">
        <v>46197</v>
      </c>
      <c r="Q37" s="5"/>
      <c r="R37" s="5" t="str">
        <f t="shared" si="5"/>
        <v>No Discount</v>
      </c>
      <c r="T37" s="4"/>
      <c r="U37" s="7">
        <f>O37*(1-T37)</f>
        <v>17.98</v>
      </c>
      <c r="V37" s="4"/>
    </row>
    <row r="38" spans="1:22" x14ac:dyDescent="0.25">
      <c r="A38">
        <v>100037</v>
      </c>
      <c r="B38" t="s">
        <v>88</v>
      </c>
      <c r="C38" t="str">
        <f t="shared" si="0"/>
        <v>HOR</v>
      </c>
      <c r="D38" t="str">
        <f t="shared" si="1"/>
        <v>034</v>
      </c>
      <c r="E38" t="str">
        <f t="shared" si="2"/>
        <v>HOR-034</v>
      </c>
      <c r="F38" t="s">
        <v>64</v>
      </c>
      <c r="G38" t="s">
        <v>42</v>
      </c>
      <c r="H38" t="s">
        <v>27</v>
      </c>
      <c r="I38">
        <f t="shared" si="3"/>
        <v>6</v>
      </c>
      <c r="J38" t="s">
        <v>203</v>
      </c>
      <c r="K38">
        <v>1</v>
      </c>
      <c r="L38" t="str">
        <f t="shared" si="4"/>
        <v>Standard Order</v>
      </c>
      <c r="M38" t="str" cm="1">
        <f t="array" ref="M38">_xlfn.IFS(K38&gt;=25,"Bulk",K38&gt;=10,"Large",K38&lt;10,"Standard")</f>
        <v>Standard</v>
      </c>
      <c r="N38" s="2">
        <v>19.55</v>
      </c>
      <c r="O38" s="2">
        <f t="shared" si="6"/>
        <v>19.55</v>
      </c>
      <c r="P38" s="3">
        <v>46198</v>
      </c>
      <c r="Q38" s="5"/>
      <c r="R38" s="5" t="str">
        <f t="shared" si="5"/>
        <v>No Discount</v>
      </c>
      <c r="T38" s="4"/>
      <c r="U38" s="7">
        <f>O38*(1-T38)</f>
        <v>19.55</v>
      </c>
      <c r="V38" s="4"/>
    </row>
    <row r="39" spans="1:22" x14ac:dyDescent="0.25">
      <c r="A39">
        <v>100038</v>
      </c>
      <c r="B39" t="s">
        <v>89</v>
      </c>
      <c r="C39" t="str">
        <f t="shared" si="0"/>
        <v>BIO</v>
      </c>
      <c r="D39" t="str">
        <f t="shared" si="1"/>
        <v>045</v>
      </c>
      <c r="E39" t="str">
        <f t="shared" si="2"/>
        <v>BIO-045</v>
      </c>
      <c r="F39" t="s">
        <v>39</v>
      </c>
      <c r="G39" t="s">
        <v>29</v>
      </c>
      <c r="H39" t="s">
        <v>52</v>
      </c>
      <c r="I39">
        <f t="shared" si="3"/>
        <v>9</v>
      </c>
      <c r="J39" t="s">
        <v>59</v>
      </c>
      <c r="K39">
        <v>1</v>
      </c>
      <c r="L39" t="str">
        <f t="shared" si="4"/>
        <v>Standard Order</v>
      </c>
      <c r="M39" t="str" cm="1">
        <f t="array" ref="M39">_xlfn.IFS(K39&gt;=25,"Bulk",K39&gt;=10,"Large",K39&lt;10,"Standard")</f>
        <v>Standard</v>
      </c>
      <c r="N39" s="2">
        <v>27.83</v>
      </c>
      <c r="O39" s="2">
        <f t="shared" si="6"/>
        <v>27.83</v>
      </c>
      <c r="P39" s="3">
        <v>46198</v>
      </c>
      <c r="Q39" s="5"/>
      <c r="R39" s="5" t="str">
        <f t="shared" si="5"/>
        <v>No Discount</v>
      </c>
      <c r="T39" s="4"/>
      <c r="U39" s="7">
        <f>O39*(1-T39)</f>
        <v>27.83</v>
      </c>
      <c r="V39" s="4"/>
    </row>
    <row r="40" spans="1:22" x14ac:dyDescent="0.25">
      <c r="A40">
        <v>100039</v>
      </c>
      <c r="B40" t="s">
        <v>38</v>
      </c>
      <c r="C40" t="str">
        <f t="shared" si="0"/>
        <v>GRN</v>
      </c>
      <c r="D40" t="str">
        <f t="shared" si="1"/>
        <v>065</v>
      </c>
      <c r="E40" t="str">
        <f t="shared" si="2"/>
        <v>GRN-065</v>
      </c>
      <c r="F40" t="s">
        <v>90</v>
      </c>
      <c r="G40" t="s">
        <v>29</v>
      </c>
      <c r="H40" t="s">
        <v>40</v>
      </c>
      <c r="I40">
        <f t="shared" si="3"/>
        <v>13</v>
      </c>
      <c r="J40" t="s">
        <v>203</v>
      </c>
      <c r="K40">
        <v>7</v>
      </c>
      <c r="L40" t="str">
        <f t="shared" si="4"/>
        <v>Standard Order</v>
      </c>
      <c r="M40" t="str" cm="1">
        <f t="array" ref="M40">_xlfn.IFS(K40&gt;=25,"Bulk",K40&gt;=10,"Large",K40&lt;10,"Standard")</f>
        <v>Standard</v>
      </c>
      <c r="N40" s="2">
        <v>10.32</v>
      </c>
      <c r="O40" s="2">
        <f t="shared" si="6"/>
        <v>72.240000000000009</v>
      </c>
      <c r="P40" s="3">
        <v>46199</v>
      </c>
      <c r="Q40" s="5"/>
      <c r="R40" s="5" t="str">
        <f t="shared" si="5"/>
        <v>No Discount</v>
      </c>
      <c r="T40" s="4"/>
      <c r="U40" s="7">
        <f>O40*(1-T40)</f>
        <v>72.240000000000009</v>
      </c>
      <c r="V40" s="4"/>
    </row>
    <row r="41" spans="1:22" x14ac:dyDescent="0.25">
      <c r="A41">
        <v>100040</v>
      </c>
      <c r="B41" t="s">
        <v>91</v>
      </c>
      <c r="C41" t="str">
        <f t="shared" si="0"/>
        <v>FAN</v>
      </c>
      <c r="D41" t="str">
        <f t="shared" si="1"/>
        <v>055</v>
      </c>
      <c r="E41" t="str">
        <f t="shared" si="2"/>
        <v>FAN-055</v>
      </c>
      <c r="F41" t="s">
        <v>92</v>
      </c>
      <c r="G41" t="s">
        <v>11</v>
      </c>
      <c r="H41" t="s">
        <v>12</v>
      </c>
      <c r="I41">
        <f t="shared" si="3"/>
        <v>7</v>
      </c>
      <c r="J41" t="s">
        <v>203</v>
      </c>
      <c r="K41">
        <v>1</v>
      </c>
      <c r="L41" t="str">
        <f t="shared" si="4"/>
        <v>Standard Order</v>
      </c>
      <c r="M41" t="str" cm="1">
        <f t="array" ref="M41">_xlfn.IFS(K41&gt;=25,"Bulk",K41&gt;=10,"Large",K41&lt;10,"Standard")</f>
        <v>Standard</v>
      </c>
      <c r="N41" s="2">
        <v>20.65</v>
      </c>
      <c r="O41" s="2">
        <f t="shared" si="6"/>
        <v>20.65</v>
      </c>
      <c r="P41" s="3">
        <v>46199</v>
      </c>
      <c r="Q41" s="5"/>
      <c r="R41" s="5" t="str">
        <f t="shared" si="5"/>
        <v>No Discount</v>
      </c>
      <c r="T41" s="4"/>
      <c r="U41" s="7">
        <f>O41*(1-T41)</f>
        <v>20.65</v>
      </c>
      <c r="V41" s="4"/>
    </row>
    <row r="42" spans="1:22" x14ac:dyDescent="0.25">
      <c r="A42">
        <v>100041</v>
      </c>
      <c r="B42" t="s">
        <v>28</v>
      </c>
      <c r="C42" t="str">
        <f t="shared" si="0"/>
        <v>MYS</v>
      </c>
      <c r="D42" t="str">
        <f t="shared" si="1"/>
        <v>066</v>
      </c>
      <c r="E42" t="str">
        <f t="shared" si="2"/>
        <v>MYS-066</v>
      </c>
      <c r="F42" t="s">
        <v>93</v>
      </c>
      <c r="G42" t="s">
        <v>15</v>
      </c>
      <c r="H42" t="s">
        <v>30</v>
      </c>
      <c r="I42">
        <f t="shared" si="3"/>
        <v>7</v>
      </c>
      <c r="J42" t="s">
        <v>203</v>
      </c>
      <c r="K42">
        <v>8</v>
      </c>
      <c r="L42" t="str">
        <f t="shared" si="4"/>
        <v>Standard Order</v>
      </c>
      <c r="M42" t="str" cm="1">
        <f t="array" ref="M42">_xlfn.IFS(K42&gt;=25,"Bulk",K42&gt;=10,"Large",K42&lt;10,"Standard")</f>
        <v>Standard</v>
      </c>
      <c r="N42" s="2">
        <v>17.11</v>
      </c>
      <c r="O42" s="2">
        <f t="shared" si="6"/>
        <v>136.88</v>
      </c>
      <c r="P42" s="3">
        <v>46200</v>
      </c>
      <c r="Q42" s="5"/>
      <c r="R42" s="5" t="str">
        <f t="shared" si="5"/>
        <v>Discount</v>
      </c>
      <c r="S42" t="s">
        <v>17</v>
      </c>
      <c r="T42" s="4">
        <v>0.2</v>
      </c>
      <c r="U42" s="7">
        <f>O42*(1-T42)</f>
        <v>109.504</v>
      </c>
      <c r="V42" s="4"/>
    </row>
    <row r="43" spans="1:22" x14ac:dyDescent="0.25">
      <c r="A43">
        <v>100042</v>
      </c>
      <c r="B43" t="s">
        <v>76</v>
      </c>
      <c r="C43" t="str">
        <f t="shared" si="0"/>
        <v>NFC</v>
      </c>
      <c r="D43" t="str">
        <f t="shared" si="1"/>
        <v>057</v>
      </c>
      <c r="E43" t="str">
        <f t="shared" si="2"/>
        <v>NFC-057</v>
      </c>
      <c r="F43" t="s">
        <v>94</v>
      </c>
      <c r="G43" t="s">
        <v>11</v>
      </c>
      <c r="H43" t="s">
        <v>59</v>
      </c>
      <c r="I43">
        <f t="shared" si="3"/>
        <v>10</v>
      </c>
      <c r="J43" t="s">
        <v>59</v>
      </c>
      <c r="K43">
        <v>11</v>
      </c>
      <c r="L43" t="str">
        <f t="shared" si="4"/>
        <v>Large Order</v>
      </c>
      <c r="M43" t="str" cm="1">
        <f t="array" ref="M43">_xlfn.IFS(K43&gt;=25,"Bulk",K43&gt;=10,"Large",K43&lt;10,"Standard")</f>
        <v>Large</v>
      </c>
      <c r="N43" s="2">
        <v>29.85</v>
      </c>
      <c r="O43" s="2">
        <f t="shared" si="6"/>
        <v>328.35</v>
      </c>
      <c r="P43" s="3">
        <v>46201</v>
      </c>
      <c r="Q43" s="5"/>
      <c r="R43" s="5" t="str">
        <f t="shared" si="5"/>
        <v>No Discount</v>
      </c>
      <c r="T43" s="4"/>
      <c r="U43" s="7">
        <f>O43*(1-T43)</f>
        <v>328.35</v>
      </c>
      <c r="V43" s="4"/>
    </row>
    <row r="44" spans="1:22" x14ac:dyDescent="0.25">
      <c r="A44">
        <v>100043</v>
      </c>
      <c r="B44" t="s">
        <v>35</v>
      </c>
      <c r="C44" t="str">
        <f t="shared" si="0"/>
        <v>ROM</v>
      </c>
      <c r="D44" t="str">
        <f t="shared" si="1"/>
        <v>067</v>
      </c>
      <c r="E44" t="str">
        <f t="shared" si="2"/>
        <v>ROM-067</v>
      </c>
      <c r="F44" t="s">
        <v>95</v>
      </c>
      <c r="G44" t="s">
        <v>29</v>
      </c>
      <c r="H44" t="s">
        <v>37</v>
      </c>
      <c r="I44">
        <f t="shared" si="3"/>
        <v>7</v>
      </c>
      <c r="J44" t="s">
        <v>203</v>
      </c>
      <c r="K44">
        <v>1</v>
      </c>
      <c r="L44" t="str">
        <f t="shared" si="4"/>
        <v>Standard Order</v>
      </c>
      <c r="M44" t="str" cm="1">
        <f t="array" ref="M44">_xlfn.IFS(K44&gt;=25,"Bulk",K44&gt;=10,"Large",K44&lt;10,"Standard")</f>
        <v>Standard</v>
      </c>
      <c r="N44" s="2">
        <v>24.12</v>
      </c>
      <c r="O44" s="2">
        <f t="shared" si="6"/>
        <v>24.12</v>
      </c>
      <c r="P44" s="3">
        <v>46201</v>
      </c>
      <c r="Q44" s="5"/>
      <c r="R44" s="5" t="str">
        <f t="shared" si="5"/>
        <v>No Discount</v>
      </c>
      <c r="T44" s="4"/>
      <c r="U44" s="7">
        <f>O44*(1-T44)</f>
        <v>24.12</v>
      </c>
      <c r="V44" s="4"/>
    </row>
    <row r="45" spans="1:22" x14ac:dyDescent="0.25">
      <c r="A45">
        <v>100044</v>
      </c>
      <c r="B45" t="s">
        <v>96</v>
      </c>
      <c r="C45" t="str">
        <f t="shared" si="0"/>
        <v>GRN</v>
      </c>
      <c r="D45" t="str">
        <f t="shared" si="1"/>
        <v>039</v>
      </c>
      <c r="E45" t="str">
        <f t="shared" si="2"/>
        <v>GRN-039</v>
      </c>
      <c r="F45" t="s">
        <v>97</v>
      </c>
      <c r="G45" t="s">
        <v>15</v>
      </c>
      <c r="H45" t="s">
        <v>40</v>
      </c>
      <c r="I45">
        <f t="shared" si="3"/>
        <v>13</v>
      </c>
      <c r="J45" t="s">
        <v>203</v>
      </c>
      <c r="K45">
        <v>4</v>
      </c>
      <c r="L45" t="str">
        <f t="shared" si="4"/>
        <v>Standard Order</v>
      </c>
      <c r="M45" t="str" cm="1">
        <f t="array" ref="M45">_xlfn.IFS(K45&gt;=25,"Bulk",K45&gt;=10,"Large",K45&lt;10,"Standard")</f>
        <v>Standard</v>
      </c>
      <c r="N45" s="2">
        <v>30.18</v>
      </c>
      <c r="O45" s="2">
        <f t="shared" si="6"/>
        <v>120.72</v>
      </c>
      <c r="P45" s="3">
        <v>46202</v>
      </c>
      <c r="Q45" s="5"/>
      <c r="R45" s="5" t="str">
        <f t="shared" si="5"/>
        <v>Discount</v>
      </c>
      <c r="S45" t="s">
        <v>98</v>
      </c>
      <c r="T45" s="4">
        <v>0.2</v>
      </c>
      <c r="U45" s="7">
        <f>O45*(1-T45)</f>
        <v>96.576000000000008</v>
      </c>
      <c r="V45" s="4"/>
    </row>
    <row r="46" spans="1:22" x14ac:dyDescent="0.25">
      <c r="A46">
        <v>100045</v>
      </c>
      <c r="B46" t="s">
        <v>85</v>
      </c>
      <c r="C46" t="str">
        <f t="shared" si="0"/>
        <v>MYS</v>
      </c>
      <c r="D46" t="str">
        <f t="shared" si="1"/>
        <v>053</v>
      </c>
      <c r="E46" t="str">
        <f t="shared" si="2"/>
        <v>MYS-053</v>
      </c>
      <c r="F46" t="s">
        <v>99</v>
      </c>
      <c r="G46" t="s">
        <v>42</v>
      </c>
      <c r="H46" t="s">
        <v>30</v>
      </c>
      <c r="I46">
        <f t="shared" si="3"/>
        <v>7</v>
      </c>
      <c r="J46" t="s">
        <v>203</v>
      </c>
      <c r="K46">
        <v>1</v>
      </c>
      <c r="L46" t="str">
        <f t="shared" si="4"/>
        <v>Standard Order</v>
      </c>
      <c r="M46" t="str" cm="1">
        <f t="array" ref="M46">_xlfn.IFS(K46&gt;=25,"Bulk",K46&gt;=10,"Large",K46&lt;10,"Standard")</f>
        <v>Standard</v>
      </c>
      <c r="N46" s="2">
        <v>32.61</v>
      </c>
      <c r="O46" s="2">
        <f t="shared" si="6"/>
        <v>32.61</v>
      </c>
      <c r="P46" s="3">
        <v>46203</v>
      </c>
      <c r="Q46" s="5"/>
      <c r="R46" s="5" t="str">
        <f t="shared" si="5"/>
        <v>No Discount</v>
      </c>
      <c r="T46" s="4"/>
      <c r="U46" s="7">
        <f>O46*(1-T46)</f>
        <v>32.61</v>
      </c>
      <c r="V46" s="4"/>
    </row>
    <row r="47" spans="1:22" x14ac:dyDescent="0.25">
      <c r="A47">
        <v>100046</v>
      </c>
      <c r="B47" t="s">
        <v>100</v>
      </c>
      <c r="C47" t="str">
        <f t="shared" si="0"/>
        <v>YAD</v>
      </c>
      <c r="D47" t="str">
        <f t="shared" si="1"/>
        <v>037</v>
      </c>
      <c r="E47" t="str">
        <f t="shared" si="2"/>
        <v>YAD-037</v>
      </c>
      <c r="F47" t="s">
        <v>71</v>
      </c>
      <c r="G47" t="s">
        <v>29</v>
      </c>
      <c r="H47" t="s">
        <v>55</v>
      </c>
      <c r="I47">
        <f t="shared" si="3"/>
        <v>11</v>
      </c>
      <c r="J47" t="s">
        <v>203</v>
      </c>
      <c r="K47">
        <v>2</v>
      </c>
      <c r="L47" t="str">
        <f t="shared" si="4"/>
        <v>Standard Order</v>
      </c>
      <c r="M47" t="str" cm="1">
        <f t="array" ref="M47">_xlfn.IFS(K47&gt;=25,"Bulk",K47&gt;=10,"Large",K47&lt;10,"Standard")</f>
        <v>Standard</v>
      </c>
      <c r="N47" s="2">
        <v>9.68</v>
      </c>
      <c r="O47" s="2">
        <f t="shared" si="6"/>
        <v>19.36</v>
      </c>
      <c r="P47" s="3">
        <v>46203</v>
      </c>
      <c r="Q47" s="5"/>
      <c r="R47" s="5" t="str">
        <f t="shared" si="5"/>
        <v>No Discount</v>
      </c>
      <c r="T47" s="4"/>
      <c r="U47" s="7">
        <f>O47*(1-T47)</f>
        <v>19.36</v>
      </c>
      <c r="V47" s="4"/>
    </row>
    <row r="48" spans="1:22" x14ac:dyDescent="0.25">
      <c r="A48">
        <v>100047</v>
      </c>
      <c r="B48" t="s">
        <v>75</v>
      </c>
      <c r="C48" t="str">
        <f t="shared" si="0"/>
        <v>SCI</v>
      </c>
      <c r="D48" t="str">
        <f t="shared" si="1"/>
        <v>056</v>
      </c>
      <c r="E48" t="str">
        <f t="shared" si="2"/>
        <v>SCI-056</v>
      </c>
      <c r="F48" t="s">
        <v>101</v>
      </c>
      <c r="G48" t="s">
        <v>29</v>
      </c>
      <c r="H48" t="s">
        <v>23</v>
      </c>
      <c r="I48">
        <f t="shared" si="3"/>
        <v>15</v>
      </c>
      <c r="J48" t="s">
        <v>203</v>
      </c>
      <c r="K48">
        <v>2</v>
      </c>
      <c r="L48" t="str">
        <f t="shared" si="4"/>
        <v>Standard Order</v>
      </c>
      <c r="M48" t="str" cm="1">
        <f t="array" ref="M48">_xlfn.IFS(K48&gt;=25,"Bulk",K48&gt;=10,"Large",K48&lt;10,"Standard")</f>
        <v>Standard</v>
      </c>
      <c r="N48" s="2">
        <v>22.95</v>
      </c>
      <c r="O48" s="2">
        <f t="shared" si="6"/>
        <v>45.9</v>
      </c>
      <c r="P48" s="3">
        <v>46204</v>
      </c>
      <c r="Q48" s="5"/>
      <c r="R48" s="5" t="str">
        <f t="shared" si="5"/>
        <v>No Discount</v>
      </c>
      <c r="T48" s="4"/>
      <c r="U48" s="7">
        <f>O48*(1-T48)</f>
        <v>45.9</v>
      </c>
      <c r="V48" s="4"/>
    </row>
    <row r="49" spans="1:22" x14ac:dyDescent="0.25">
      <c r="A49">
        <v>100048</v>
      </c>
      <c r="B49" t="s">
        <v>13</v>
      </c>
      <c r="C49" t="str">
        <f t="shared" si="0"/>
        <v>HIS</v>
      </c>
      <c r="D49" t="str">
        <f t="shared" si="1"/>
        <v>074</v>
      </c>
      <c r="E49" t="str">
        <f t="shared" si="2"/>
        <v>HIS-074</v>
      </c>
      <c r="F49" t="s">
        <v>92</v>
      </c>
      <c r="G49" t="s">
        <v>29</v>
      </c>
      <c r="H49" t="s">
        <v>16</v>
      </c>
      <c r="I49">
        <f t="shared" si="3"/>
        <v>18</v>
      </c>
      <c r="J49" t="s">
        <v>203</v>
      </c>
      <c r="K49">
        <v>2</v>
      </c>
      <c r="L49" t="str">
        <f t="shared" si="4"/>
        <v>Standard Order</v>
      </c>
      <c r="M49" t="str" cm="1">
        <f t="array" ref="M49">_xlfn.IFS(K49&gt;=25,"Bulk",K49&gt;=10,"Large",K49&lt;10,"Standard")</f>
        <v>Standard</v>
      </c>
      <c r="N49" s="2">
        <v>21.7</v>
      </c>
      <c r="O49" s="2">
        <f t="shared" si="6"/>
        <v>43.4</v>
      </c>
      <c r="P49" s="3">
        <v>46205</v>
      </c>
      <c r="Q49" s="5"/>
      <c r="R49" s="5" t="str">
        <f t="shared" si="5"/>
        <v>No Discount</v>
      </c>
      <c r="T49" s="4"/>
      <c r="U49" s="7">
        <f>O49*(1-T49)</f>
        <v>43.4</v>
      </c>
      <c r="V49" s="4"/>
    </row>
    <row r="50" spans="1:22" x14ac:dyDescent="0.25">
      <c r="A50">
        <v>100049</v>
      </c>
      <c r="B50" t="s">
        <v>102</v>
      </c>
      <c r="C50" t="str">
        <f t="shared" si="0"/>
        <v>BIO</v>
      </c>
      <c r="D50" t="str">
        <f t="shared" si="1"/>
        <v>006</v>
      </c>
      <c r="E50" t="str">
        <f t="shared" si="2"/>
        <v>BIO-006</v>
      </c>
      <c r="F50" t="s">
        <v>103</v>
      </c>
      <c r="G50" t="s">
        <v>11</v>
      </c>
      <c r="H50" t="s">
        <v>52</v>
      </c>
      <c r="I50">
        <f t="shared" si="3"/>
        <v>9</v>
      </c>
      <c r="J50" t="s">
        <v>59</v>
      </c>
      <c r="K50">
        <v>2</v>
      </c>
      <c r="L50" t="str">
        <f t="shared" si="4"/>
        <v>Standard Order</v>
      </c>
      <c r="M50" t="str" cm="1">
        <f t="array" ref="M50">_xlfn.IFS(K50&gt;=25,"Bulk",K50&gt;=10,"Large",K50&lt;10,"Standard")</f>
        <v>Standard</v>
      </c>
      <c r="N50" s="2">
        <v>14.99</v>
      </c>
      <c r="O50" s="2">
        <f t="shared" si="6"/>
        <v>29.98</v>
      </c>
      <c r="P50" s="3">
        <v>46205</v>
      </c>
      <c r="Q50" s="5"/>
      <c r="R50" s="5" t="str">
        <f t="shared" si="5"/>
        <v>No Discount</v>
      </c>
      <c r="T50" s="4"/>
      <c r="U50" s="7">
        <f>O50*(1-T50)</f>
        <v>29.98</v>
      </c>
      <c r="V50" s="4"/>
    </row>
    <row r="51" spans="1:22" x14ac:dyDescent="0.25">
      <c r="A51">
        <v>100050</v>
      </c>
      <c r="B51" t="s">
        <v>104</v>
      </c>
      <c r="C51" t="str">
        <f t="shared" si="0"/>
        <v>THR</v>
      </c>
      <c r="D51" t="str">
        <f t="shared" si="1"/>
        <v>062</v>
      </c>
      <c r="E51" t="str">
        <f t="shared" si="2"/>
        <v>THR-062</v>
      </c>
      <c r="F51" t="s">
        <v>105</v>
      </c>
      <c r="G51" t="s">
        <v>42</v>
      </c>
      <c r="H51" t="s">
        <v>33</v>
      </c>
      <c r="I51">
        <f t="shared" si="3"/>
        <v>8</v>
      </c>
      <c r="J51" t="s">
        <v>203</v>
      </c>
      <c r="K51">
        <v>1</v>
      </c>
      <c r="L51" t="str">
        <f t="shared" si="4"/>
        <v>Standard Order</v>
      </c>
      <c r="M51" t="str" cm="1">
        <f t="array" ref="M51">_xlfn.IFS(K51&gt;=25,"Bulk",K51&gt;=10,"Large",K51&lt;10,"Standard")</f>
        <v>Standard</v>
      </c>
      <c r="N51" s="2">
        <v>10.85</v>
      </c>
      <c r="O51" s="2">
        <f t="shared" si="6"/>
        <v>10.85</v>
      </c>
      <c r="P51" s="3">
        <v>46206</v>
      </c>
      <c r="Q51" s="5"/>
      <c r="R51" s="5" t="str">
        <f t="shared" si="5"/>
        <v>No Discount</v>
      </c>
      <c r="T51" s="4"/>
      <c r="U51" s="7">
        <f>O51*(1-T51)</f>
        <v>10.85</v>
      </c>
      <c r="V51" s="4"/>
    </row>
    <row r="52" spans="1:22" x14ac:dyDescent="0.25">
      <c r="A52">
        <v>100051</v>
      </c>
      <c r="B52" t="s">
        <v>47</v>
      </c>
      <c r="C52" t="str">
        <f t="shared" si="0"/>
        <v>HIS</v>
      </c>
      <c r="D52" t="str">
        <f t="shared" si="1"/>
        <v>061</v>
      </c>
      <c r="E52" t="str">
        <f t="shared" si="2"/>
        <v>HIS-061</v>
      </c>
      <c r="F52" t="s">
        <v>106</v>
      </c>
      <c r="G52" t="s">
        <v>11</v>
      </c>
      <c r="H52" t="s">
        <v>16</v>
      </c>
      <c r="I52">
        <f t="shared" si="3"/>
        <v>18</v>
      </c>
      <c r="J52" t="s">
        <v>203</v>
      </c>
      <c r="K52">
        <v>1</v>
      </c>
      <c r="L52" t="str">
        <f t="shared" si="4"/>
        <v>Standard Order</v>
      </c>
      <c r="M52" t="str" cm="1">
        <f t="array" ref="M52">_xlfn.IFS(K52&gt;=25,"Bulk",K52&gt;=10,"Large",K52&lt;10,"Standard")</f>
        <v>Standard</v>
      </c>
      <c r="N52" s="2">
        <v>9.42</v>
      </c>
      <c r="O52" s="2">
        <f t="shared" si="6"/>
        <v>9.42</v>
      </c>
      <c r="P52" s="3">
        <v>46207</v>
      </c>
      <c r="Q52" s="5"/>
      <c r="R52" s="5" t="str">
        <f t="shared" si="5"/>
        <v>No Discount</v>
      </c>
      <c r="T52" s="4"/>
      <c r="U52" s="7">
        <f>O52*(1-T52)</f>
        <v>9.42</v>
      </c>
      <c r="V52" s="4"/>
    </row>
    <row r="53" spans="1:22" x14ac:dyDescent="0.25">
      <c r="A53">
        <v>100052</v>
      </c>
      <c r="B53" t="s">
        <v>35</v>
      </c>
      <c r="C53" t="str">
        <f t="shared" si="0"/>
        <v>ROM</v>
      </c>
      <c r="D53" t="str">
        <f t="shared" si="1"/>
        <v>067</v>
      </c>
      <c r="E53" t="str">
        <f t="shared" si="2"/>
        <v>ROM-067</v>
      </c>
      <c r="F53" t="s">
        <v>51</v>
      </c>
      <c r="G53" t="s">
        <v>49</v>
      </c>
      <c r="H53" t="s">
        <v>37</v>
      </c>
      <c r="I53">
        <f t="shared" si="3"/>
        <v>7</v>
      </c>
      <c r="J53" t="s">
        <v>203</v>
      </c>
      <c r="K53">
        <v>6</v>
      </c>
      <c r="L53" t="str">
        <f t="shared" si="4"/>
        <v>Standard Order</v>
      </c>
      <c r="M53" t="str" cm="1">
        <f t="array" ref="M53">_xlfn.IFS(K53&gt;=25,"Bulk",K53&gt;=10,"Large",K53&lt;10,"Standard")</f>
        <v>Standard</v>
      </c>
      <c r="N53" s="2">
        <v>17.100000000000001</v>
      </c>
      <c r="O53" s="2">
        <f t="shared" si="6"/>
        <v>102.60000000000001</v>
      </c>
      <c r="P53" s="3">
        <v>46207</v>
      </c>
      <c r="Q53" s="5"/>
      <c r="R53" s="5" t="str">
        <f t="shared" si="5"/>
        <v>No Discount</v>
      </c>
      <c r="T53" s="4"/>
      <c r="U53" s="7">
        <f>O53*(1-T53)</f>
        <v>102.60000000000001</v>
      </c>
      <c r="V53" s="4"/>
    </row>
    <row r="54" spans="1:22" x14ac:dyDescent="0.25">
      <c r="A54">
        <v>100053</v>
      </c>
      <c r="B54" t="s">
        <v>107</v>
      </c>
      <c r="C54" t="str">
        <f t="shared" si="0"/>
        <v>FAN</v>
      </c>
      <c r="D54" t="str">
        <f t="shared" si="1"/>
        <v>042</v>
      </c>
      <c r="E54" t="str">
        <f t="shared" si="2"/>
        <v>FAN-042</v>
      </c>
      <c r="F54" t="s">
        <v>108</v>
      </c>
      <c r="G54" t="s">
        <v>42</v>
      </c>
      <c r="H54" t="s">
        <v>12</v>
      </c>
      <c r="I54">
        <f t="shared" si="3"/>
        <v>7</v>
      </c>
      <c r="J54" t="s">
        <v>203</v>
      </c>
      <c r="K54">
        <v>2</v>
      </c>
      <c r="L54" t="str">
        <f t="shared" si="4"/>
        <v>Standard Order</v>
      </c>
      <c r="M54" t="str" cm="1">
        <f t="array" ref="M54">_xlfn.IFS(K54&gt;=25,"Bulk",K54&gt;=10,"Large",K54&lt;10,"Standard")</f>
        <v>Standard</v>
      </c>
      <c r="N54" s="2">
        <v>31.64</v>
      </c>
      <c r="O54" s="2">
        <f t="shared" si="6"/>
        <v>63.28</v>
      </c>
      <c r="P54" s="3">
        <v>46208</v>
      </c>
      <c r="Q54" s="5"/>
      <c r="R54" s="5" t="str">
        <f t="shared" si="5"/>
        <v>No Discount</v>
      </c>
      <c r="T54" s="4"/>
      <c r="U54" s="7">
        <f>O54*(1-T54)</f>
        <v>63.28</v>
      </c>
      <c r="V54" s="4"/>
    </row>
    <row r="55" spans="1:22" x14ac:dyDescent="0.25">
      <c r="A55">
        <v>100054</v>
      </c>
      <c r="B55" t="s">
        <v>109</v>
      </c>
      <c r="C55" t="str">
        <f t="shared" si="0"/>
        <v>HOR</v>
      </c>
      <c r="D55" t="str">
        <f t="shared" si="1"/>
        <v>021</v>
      </c>
      <c r="E55" t="str">
        <f t="shared" si="2"/>
        <v>HOR-021</v>
      </c>
      <c r="F55" t="s">
        <v>71</v>
      </c>
      <c r="G55" t="s">
        <v>29</v>
      </c>
      <c r="H55" t="s">
        <v>27</v>
      </c>
      <c r="I55">
        <f t="shared" si="3"/>
        <v>6</v>
      </c>
      <c r="J55" t="s">
        <v>203</v>
      </c>
      <c r="K55">
        <v>1</v>
      </c>
      <c r="L55" t="str">
        <f t="shared" si="4"/>
        <v>Standard Order</v>
      </c>
      <c r="M55" t="str" cm="1">
        <f t="array" ref="M55">_xlfn.IFS(K55&gt;=25,"Bulk",K55&gt;=10,"Large",K55&lt;10,"Standard")</f>
        <v>Standard</v>
      </c>
      <c r="N55" s="2">
        <v>13.96</v>
      </c>
      <c r="O55" s="2">
        <f t="shared" si="6"/>
        <v>13.96</v>
      </c>
      <c r="P55" s="3">
        <v>46209</v>
      </c>
      <c r="Q55" s="5"/>
      <c r="R55" s="5" t="str">
        <f t="shared" si="5"/>
        <v>Discount</v>
      </c>
      <c r="S55" t="s">
        <v>24</v>
      </c>
      <c r="T55" s="4">
        <v>0.15</v>
      </c>
      <c r="U55" s="7">
        <f>O55*(1-T55)</f>
        <v>11.866</v>
      </c>
      <c r="V55" s="4"/>
    </row>
    <row r="56" spans="1:22" x14ac:dyDescent="0.25">
      <c r="A56">
        <v>100055</v>
      </c>
      <c r="B56" t="s">
        <v>25</v>
      </c>
      <c r="C56" t="str">
        <f t="shared" si="0"/>
        <v>HOR</v>
      </c>
      <c r="D56" t="str">
        <f t="shared" si="1"/>
        <v>060</v>
      </c>
      <c r="E56" t="str">
        <f t="shared" si="2"/>
        <v>HOR-060</v>
      </c>
      <c r="F56" t="s">
        <v>110</v>
      </c>
      <c r="G56" t="s">
        <v>15</v>
      </c>
      <c r="H56" t="s">
        <v>27</v>
      </c>
      <c r="I56">
        <f t="shared" si="3"/>
        <v>6</v>
      </c>
      <c r="J56" t="s">
        <v>203</v>
      </c>
      <c r="K56">
        <v>12</v>
      </c>
      <c r="L56" t="str">
        <f t="shared" si="4"/>
        <v>Large Order</v>
      </c>
      <c r="M56" t="str" cm="1">
        <f t="array" ref="M56">_xlfn.IFS(K56&gt;=25,"Bulk",K56&gt;=10,"Large",K56&lt;10,"Standard")</f>
        <v>Large</v>
      </c>
      <c r="N56" s="2">
        <v>17.43</v>
      </c>
      <c r="O56" s="2">
        <f t="shared" si="6"/>
        <v>209.16</v>
      </c>
      <c r="P56" s="3">
        <v>46209</v>
      </c>
      <c r="Q56" s="5"/>
      <c r="R56" s="5" t="str">
        <f t="shared" si="5"/>
        <v>No Discount</v>
      </c>
      <c r="T56" s="4"/>
      <c r="U56" s="7">
        <f>O56*(1-T56)</f>
        <v>209.16</v>
      </c>
      <c r="V56" s="4"/>
    </row>
    <row r="57" spans="1:22" x14ac:dyDescent="0.25">
      <c r="A57">
        <v>100056</v>
      </c>
      <c r="B57" t="s">
        <v>47</v>
      </c>
      <c r="C57" t="str">
        <f t="shared" si="0"/>
        <v>HIS</v>
      </c>
      <c r="D57" t="str">
        <f t="shared" si="1"/>
        <v>061</v>
      </c>
      <c r="E57" t="str">
        <f t="shared" si="2"/>
        <v>HIS-061</v>
      </c>
      <c r="F57" t="s">
        <v>111</v>
      </c>
      <c r="G57" t="s">
        <v>15</v>
      </c>
      <c r="H57" t="s">
        <v>16</v>
      </c>
      <c r="I57">
        <f t="shared" si="3"/>
        <v>18</v>
      </c>
      <c r="J57" t="s">
        <v>203</v>
      </c>
      <c r="K57">
        <v>5</v>
      </c>
      <c r="L57" t="str">
        <f t="shared" si="4"/>
        <v>Standard Order</v>
      </c>
      <c r="M57" t="str" cm="1">
        <f t="array" ref="M57">_xlfn.IFS(K57&gt;=25,"Bulk",K57&gt;=10,"Large",K57&lt;10,"Standard")</f>
        <v>Standard</v>
      </c>
      <c r="N57" s="2">
        <v>10.95</v>
      </c>
      <c r="O57" s="2">
        <f t="shared" si="6"/>
        <v>54.75</v>
      </c>
      <c r="P57" s="3">
        <v>46210</v>
      </c>
      <c r="Q57" s="5"/>
      <c r="R57" s="5" t="str">
        <f t="shared" si="5"/>
        <v>No Discount</v>
      </c>
      <c r="T57" s="4"/>
      <c r="U57" s="7">
        <f>O57*(1-T57)</f>
        <v>54.75</v>
      </c>
      <c r="V57" s="4"/>
    </row>
    <row r="58" spans="1:22" x14ac:dyDescent="0.25">
      <c r="A58">
        <v>100057</v>
      </c>
      <c r="B58" t="s">
        <v>112</v>
      </c>
      <c r="C58" t="str">
        <f t="shared" si="0"/>
        <v>YAD</v>
      </c>
      <c r="D58" t="str">
        <f t="shared" si="1"/>
        <v>024</v>
      </c>
      <c r="E58" t="str">
        <f t="shared" si="2"/>
        <v>YAD-024</v>
      </c>
      <c r="F58" t="s">
        <v>63</v>
      </c>
      <c r="G58" t="s">
        <v>15</v>
      </c>
      <c r="H58" t="s">
        <v>55</v>
      </c>
      <c r="I58">
        <f t="shared" si="3"/>
        <v>11</v>
      </c>
      <c r="J58" t="s">
        <v>203</v>
      </c>
      <c r="K58">
        <v>8</v>
      </c>
      <c r="L58" t="str">
        <f t="shared" si="4"/>
        <v>Standard Order</v>
      </c>
      <c r="M58" t="str" cm="1">
        <f t="array" ref="M58">_xlfn.IFS(K58&gt;=25,"Bulk",K58&gt;=10,"Large",K58&lt;10,"Standard")</f>
        <v>Standard</v>
      </c>
      <c r="N58" s="2">
        <v>25.99</v>
      </c>
      <c r="O58" s="2">
        <f t="shared" si="6"/>
        <v>207.92</v>
      </c>
      <c r="P58" s="3">
        <v>46211</v>
      </c>
      <c r="Q58" s="5"/>
      <c r="R58" s="5" t="str">
        <f t="shared" si="5"/>
        <v>No Discount</v>
      </c>
      <c r="T58" s="4"/>
      <c r="U58" s="7">
        <f>O58*(1-T58)</f>
        <v>207.92</v>
      </c>
      <c r="V58" s="4"/>
    </row>
    <row r="59" spans="1:22" x14ac:dyDescent="0.25">
      <c r="A59">
        <v>100058</v>
      </c>
      <c r="B59" t="s">
        <v>9</v>
      </c>
      <c r="C59" t="str">
        <f t="shared" si="0"/>
        <v>FAN</v>
      </c>
      <c r="D59" t="str">
        <f t="shared" si="1"/>
        <v>068</v>
      </c>
      <c r="E59" t="str">
        <f t="shared" si="2"/>
        <v>FAN-068</v>
      </c>
      <c r="F59" t="s">
        <v>113</v>
      </c>
      <c r="G59" t="s">
        <v>42</v>
      </c>
      <c r="H59" t="s">
        <v>12</v>
      </c>
      <c r="I59">
        <f t="shared" si="3"/>
        <v>7</v>
      </c>
      <c r="J59" t="s">
        <v>203</v>
      </c>
      <c r="K59">
        <v>2</v>
      </c>
      <c r="L59" t="str">
        <f t="shared" si="4"/>
        <v>Standard Order</v>
      </c>
      <c r="M59" t="str" cm="1">
        <f t="array" ref="M59">_xlfn.IFS(K59&gt;=25,"Bulk",K59&gt;=10,"Large",K59&lt;10,"Standard")</f>
        <v>Standard</v>
      </c>
      <c r="N59" s="2">
        <v>31.52</v>
      </c>
      <c r="O59" s="2">
        <f t="shared" si="6"/>
        <v>63.04</v>
      </c>
      <c r="P59" s="3">
        <v>46211</v>
      </c>
      <c r="Q59" s="5"/>
      <c r="R59" s="5" t="str">
        <f t="shared" si="5"/>
        <v>No Discount</v>
      </c>
      <c r="T59" s="4"/>
      <c r="U59" s="7">
        <f>O59*(1-T59)</f>
        <v>63.04</v>
      </c>
      <c r="V59" s="4"/>
    </row>
    <row r="60" spans="1:22" x14ac:dyDescent="0.25">
      <c r="A60">
        <v>100059</v>
      </c>
      <c r="B60" t="s">
        <v>114</v>
      </c>
      <c r="C60" t="str">
        <f t="shared" si="0"/>
        <v>ROM</v>
      </c>
      <c r="D60" t="str">
        <f t="shared" si="1"/>
        <v>015</v>
      </c>
      <c r="E60" t="str">
        <f t="shared" si="2"/>
        <v>ROM-015</v>
      </c>
      <c r="F60" t="s">
        <v>115</v>
      </c>
      <c r="G60" t="s">
        <v>15</v>
      </c>
      <c r="H60" t="s">
        <v>37</v>
      </c>
      <c r="I60">
        <f t="shared" si="3"/>
        <v>7</v>
      </c>
      <c r="J60" t="s">
        <v>203</v>
      </c>
      <c r="K60">
        <v>11</v>
      </c>
      <c r="L60" t="str">
        <f t="shared" si="4"/>
        <v>Large Order</v>
      </c>
      <c r="M60" t="str" cm="1">
        <f t="array" ref="M60">_xlfn.IFS(K60&gt;=25,"Bulk",K60&gt;=10,"Large",K60&lt;10,"Standard")</f>
        <v>Large</v>
      </c>
      <c r="N60" s="2">
        <v>15.91</v>
      </c>
      <c r="O60" s="2">
        <f t="shared" si="6"/>
        <v>175.01</v>
      </c>
      <c r="P60" s="3">
        <v>46212</v>
      </c>
      <c r="Q60" s="5"/>
      <c r="R60" s="5" t="str">
        <f t="shared" si="5"/>
        <v>Discount</v>
      </c>
      <c r="S60" t="s">
        <v>34</v>
      </c>
      <c r="T60" s="4">
        <v>7.4999999999999997E-2</v>
      </c>
      <c r="U60" s="7">
        <f>O60*(1-T60)</f>
        <v>161.88425000000001</v>
      </c>
      <c r="V60" s="4"/>
    </row>
    <row r="61" spans="1:22" x14ac:dyDescent="0.25">
      <c r="A61">
        <v>100060</v>
      </c>
      <c r="B61" t="s">
        <v>116</v>
      </c>
      <c r="C61" t="str">
        <f t="shared" si="0"/>
        <v>POE</v>
      </c>
      <c r="D61" t="str">
        <f t="shared" si="1"/>
        <v>059</v>
      </c>
      <c r="E61" t="str">
        <f t="shared" si="2"/>
        <v>POE-059</v>
      </c>
      <c r="F61" t="s">
        <v>64</v>
      </c>
      <c r="G61" t="s">
        <v>42</v>
      </c>
      <c r="H61" t="s">
        <v>74</v>
      </c>
      <c r="I61">
        <f t="shared" si="3"/>
        <v>6</v>
      </c>
      <c r="J61" t="s">
        <v>59</v>
      </c>
      <c r="K61">
        <v>1</v>
      </c>
      <c r="L61" t="str">
        <f t="shared" si="4"/>
        <v>Standard Order</v>
      </c>
      <c r="M61" t="str" cm="1">
        <f t="array" ref="M61">_xlfn.IFS(K61&gt;=25,"Bulk",K61&gt;=10,"Large",K61&lt;10,"Standard")</f>
        <v>Standard</v>
      </c>
      <c r="N61" s="2">
        <v>10.28</v>
      </c>
      <c r="O61" s="2">
        <f t="shared" si="6"/>
        <v>10.28</v>
      </c>
      <c r="P61" s="3">
        <v>46213</v>
      </c>
      <c r="Q61" s="5"/>
      <c r="R61" s="5" t="str">
        <f t="shared" si="5"/>
        <v>No Discount</v>
      </c>
      <c r="T61" s="4"/>
      <c r="U61" s="7">
        <f>O61*(1-T61)</f>
        <v>10.28</v>
      </c>
      <c r="V61" s="4"/>
    </row>
    <row r="62" spans="1:22" x14ac:dyDescent="0.25">
      <c r="A62">
        <v>100061</v>
      </c>
      <c r="B62" t="s">
        <v>117</v>
      </c>
      <c r="C62" t="str">
        <f t="shared" si="0"/>
        <v>ROM</v>
      </c>
      <c r="D62" t="str">
        <f t="shared" si="1"/>
        <v>054</v>
      </c>
      <c r="E62" t="str">
        <f t="shared" si="2"/>
        <v>ROM-054</v>
      </c>
      <c r="F62" t="s">
        <v>54</v>
      </c>
      <c r="G62" t="s">
        <v>29</v>
      </c>
      <c r="H62" t="s">
        <v>37</v>
      </c>
      <c r="I62">
        <f t="shared" si="3"/>
        <v>7</v>
      </c>
      <c r="J62" t="s">
        <v>203</v>
      </c>
      <c r="K62">
        <v>1</v>
      </c>
      <c r="L62" t="str">
        <f t="shared" si="4"/>
        <v>Standard Order</v>
      </c>
      <c r="M62" t="str" cm="1">
        <f t="array" ref="M62">_xlfn.IFS(K62&gt;=25,"Bulk",K62&gt;=10,"Large",K62&lt;10,"Standard")</f>
        <v>Standard</v>
      </c>
      <c r="N62" s="2">
        <v>10.06</v>
      </c>
      <c r="O62" s="2">
        <f t="shared" si="6"/>
        <v>10.06</v>
      </c>
      <c r="P62" s="3">
        <v>46213</v>
      </c>
      <c r="Q62" s="5"/>
      <c r="R62" s="5" t="str">
        <f t="shared" si="5"/>
        <v>No Discount</v>
      </c>
      <c r="T62" s="4"/>
      <c r="U62" s="7">
        <f>O62*(1-T62)</f>
        <v>10.06</v>
      </c>
      <c r="V62" s="4"/>
    </row>
    <row r="63" spans="1:22" x14ac:dyDescent="0.25">
      <c r="A63">
        <v>100062</v>
      </c>
      <c r="B63" t="s">
        <v>9</v>
      </c>
      <c r="C63" t="str">
        <f t="shared" si="0"/>
        <v>FAN</v>
      </c>
      <c r="D63" t="str">
        <f t="shared" si="1"/>
        <v>068</v>
      </c>
      <c r="E63" t="str">
        <f t="shared" si="2"/>
        <v>FAN-068</v>
      </c>
      <c r="F63" t="s">
        <v>118</v>
      </c>
      <c r="G63" t="s">
        <v>49</v>
      </c>
      <c r="H63" t="s">
        <v>12</v>
      </c>
      <c r="I63">
        <f t="shared" si="3"/>
        <v>7</v>
      </c>
      <c r="J63" t="s">
        <v>203</v>
      </c>
      <c r="K63">
        <v>14</v>
      </c>
      <c r="L63" t="str">
        <f t="shared" si="4"/>
        <v>Large Order</v>
      </c>
      <c r="M63" t="str" cm="1">
        <f t="array" ref="M63">_xlfn.IFS(K63&gt;=25,"Bulk",K63&gt;=10,"Large",K63&lt;10,"Standard")</f>
        <v>Large</v>
      </c>
      <c r="N63" s="2">
        <v>26.77</v>
      </c>
      <c r="O63" s="2">
        <f t="shared" si="6"/>
        <v>374.78</v>
      </c>
      <c r="P63" s="3">
        <v>46214</v>
      </c>
      <c r="Q63" s="5"/>
      <c r="R63" s="5" t="str">
        <f t="shared" si="5"/>
        <v>No Discount</v>
      </c>
      <c r="T63" s="4"/>
      <c r="U63" s="7">
        <f>O63*(1-T63)</f>
        <v>374.78</v>
      </c>
      <c r="V63" s="4"/>
    </row>
    <row r="64" spans="1:22" x14ac:dyDescent="0.25">
      <c r="A64">
        <v>100063</v>
      </c>
      <c r="B64" t="s">
        <v>119</v>
      </c>
      <c r="C64" t="str">
        <f t="shared" si="0"/>
        <v>POE</v>
      </c>
      <c r="D64" t="str">
        <f t="shared" si="1"/>
        <v>046</v>
      </c>
      <c r="E64" t="str">
        <f t="shared" si="2"/>
        <v>POE-046</v>
      </c>
      <c r="F64" t="s">
        <v>87</v>
      </c>
      <c r="G64" t="s">
        <v>29</v>
      </c>
      <c r="H64" t="s">
        <v>74</v>
      </c>
      <c r="I64">
        <f t="shared" si="3"/>
        <v>6</v>
      </c>
      <c r="J64" t="s">
        <v>59</v>
      </c>
      <c r="K64">
        <v>1</v>
      </c>
      <c r="L64" t="str">
        <f t="shared" si="4"/>
        <v>Standard Order</v>
      </c>
      <c r="M64" t="str" cm="1">
        <f t="array" ref="M64">_xlfn.IFS(K64&gt;=25,"Bulk",K64&gt;=10,"Large",K64&lt;10,"Standard")</f>
        <v>Standard</v>
      </c>
      <c r="N64" s="2">
        <v>27.15</v>
      </c>
      <c r="O64" s="2">
        <f t="shared" si="6"/>
        <v>27.15</v>
      </c>
      <c r="P64" s="3">
        <v>46215</v>
      </c>
      <c r="Q64" s="5"/>
      <c r="R64" s="5" t="str">
        <f t="shared" si="5"/>
        <v>No Discount</v>
      </c>
      <c r="T64" s="4"/>
      <c r="U64" s="7">
        <f>O64*(1-T64)</f>
        <v>27.15</v>
      </c>
      <c r="V64" s="4"/>
    </row>
    <row r="65" spans="1:22" x14ac:dyDescent="0.25">
      <c r="A65">
        <v>100064</v>
      </c>
      <c r="B65" t="s">
        <v>79</v>
      </c>
      <c r="C65" t="str">
        <f t="shared" si="0"/>
        <v>THR</v>
      </c>
      <c r="D65" t="str">
        <f t="shared" si="1"/>
        <v>075</v>
      </c>
      <c r="E65" t="str">
        <f t="shared" si="2"/>
        <v>THR-075</v>
      </c>
      <c r="F65" t="s">
        <v>14</v>
      </c>
      <c r="G65" t="s">
        <v>15</v>
      </c>
      <c r="H65" t="s">
        <v>33</v>
      </c>
      <c r="I65">
        <f t="shared" si="3"/>
        <v>8</v>
      </c>
      <c r="J65" t="s">
        <v>203</v>
      </c>
      <c r="K65">
        <v>4</v>
      </c>
      <c r="L65" t="str">
        <f t="shared" si="4"/>
        <v>Standard Order</v>
      </c>
      <c r="M65" t="str" cm="1">
        <f t="array" ref="M65">_xlfn.IFS(K65&gt;=25,"Bulk",K65&gt;=10,"Large",K65&lt;10,"Standard")</f>
        <v>Standard</v>
      </c>
      <c r="N65" s="2">
        <v>12.53</v>
      </c>
      <c r="O65" s="2">
        <f t="shared" si="6"/>
        <v>50.12</v>
      </c>
      <c r="P65" s="3">
        <v>46215</v>
      </c>
      <c r="Q65" s="5"/>
      <c r="R65" s="5" t="str">
        <f t="shared" si="5"/>
        <v>No Discount</v>
      </c>
      <c r="T65" s="4"/>
      <c r="U65" s="7">
        <f>O65*(1-T65)</f>
        <v>50.12</v>
      </c>
      <c r="V65" s="4"/>
    </row>
    <row r="66" spans="1:22" x14ac:dyDescent="0.25">
      <c r="A66">
        <v>100065</v>
      </c>
      <c r="B66" t="s">
        <v>107</v>
      </c>
      <c r="C66" t="str">
        <f t="shared" si="0"/>
        <v>FAN</v>
      </c>
      <c r="D66" t="str">
        <f t="shared" si="1"/>
        <v>042</v>
      </c>
      <c r="E66" t="str">
        <f t="shared" si="2"/>
        <v>FAN-042</v>
      </c>
      <c r="F66" t="s">
        <v>22</v>
      </c>
      <c r="G66" t="s">
        <v>29</v>
      </c>
      <c r="H66" t="s">
        <v>12</v>
      </c>
      <c r="I66">
        <f t="shared" si="3"/>
        <v>7</v>
      </c>
      <c r="J66" t="s">
        <v>203</v>
      </c>
      <c r="K66">
        <v>1</v>
      </c>
      <c r="L66" t="str">
        <f t="shared" si="4"/>
        <v>Standard Order</v>
      </c>
      <c r="M66" t="str" cm="1">
        <f t="array" ref="M66">_xlfn.IFS(K66&gt;=25,"Bulk",K66&gt;=10,"Large",K66&lt;10,"Standard")</f>
        <v>Standard</v>
      </c>
      <c r="N66" s="2">
        <v>9.67</v>
      </c>
      <c r="O66" s="2">
        <f t="shared" si="6"/>
        <v>9.67</v>
      </c>
      <c r="P66" s="3">
        <v>46216</v>
      </c>
      <c r="Q66" s="5"/>
      <c r="R66" s="5" t="str">
        <f t="shared" si="5"/>
        <v>Discount</v>
      </c>
      <c r="S66" t="s">
        <v>17</v>
      </c>
      <c r="T66" s="4">
        <v>0.2</v>
      </c>
      <c r="U66" s="7">
        <f>O66*(1-T66)</f>
        <v>7.7360000000000007</v>
      </c>
      <c r="V66" s="4"/>
    </row>
    <row r="67" spans="1:22" x14ac:dyDescent="0.25">
      <c r="A67">
        <v>100066</v>
      </c>
      <c r="B67" t="s">
        <v>53</v>
      </c>
      <c r="C67" t="str">
        <f t="shared" ref="C67:C130" si="7">LEFT(B67,3)</f>
        <v>YAD</v>
      </c>
      <c r="D67" t="str">
        <f t="shared" ref="D67:D130" si="8">RIGHT(B67,3)</f>
        <v>063</v>
      </c>
      <c r="E67" t="str">
        <f t="shared" ref="E67:E130" si="9">C67&amp;"-"&amp;D67</f>
        <v>YAD-063</v>
      </c>
      <c r="F67" t="s">
        <v>120</v>
      </c>
      <c r="G67" t="s">
        <v>42</v>
      </c>
      <c r="H67" t="s">
        <v>55</v>
      </c>
      <c r="I67">
        <f t="shared" ref="I67:I130" si="10">LEN(H67)</f>
        <v>11</v>
      </c>
      <c r="J67" t="s">
        <v>203</v>
      </c>
      <c r="K67">
        <v>1</v>
      </c>
      <c r="L67" t="str">
        <f t="shared" ref="L67:L130" si="11">IF(K67&gt;=10,"Large Order","Standard Order")</f>
        <v>Standard Order</v>
      </c>
      <c r="M67" t="str" cm="1">
        <f t="array" ref="M67">_xlfn.IFS(K67&gt;=25,"Bulk",K67&gt;=10,"Large",K67&lt;10,"Standard")</f>
        <v>Standard</v>
      </c>
      <c r="N67" s="2">
        <v>14.03</v>
      </c>
      <c r="O67" s="2">
        <f t="shared" ref="O67:O130" si="12">K67*N67</f>
        <v>14.03</v>
      </c>
      <c r="P67" s="3">
        <v>46216</v>
      </c>
      <c r="Q67" s="5"/>
      <c r="R67" s="5" t="str">
        <f t="shared" ref="R67:R130" si="13">IF(S67="","No Discount","Discount")</f>
        <v>No Discount</v>
      </c>
      <c r="T67" s="4"/>
      <c r="U67" s="7">
        <f>O67*(1-T67)</f>
        <v>14.03</v>
      </c>
      <c r="V67" s="4"/>
    </row>
    <row r="68" spans="1:22" x14ac:dyDescent="0.25">
      <c r="A68">
        <v>100067</v>
      </c>
      <c r="B68" t="s">
        <v>121</v>
      </c>
      <c r="C68" t="str">
        <f t="shared" si="7"/>
        <v>HOR</v>
      </c>
      <c r="D68" t="str">
        <f t="shared" si="8"/>
        <v>073</v>
      </c>
      <c r="E68" t="str">
        <f t="shared" si="9"/>
        <v>HOR-073</v>
      </c>
      <c r="F68" t="s">
        <v>122</v>
      </c>
      <c r="G68" t="s">
        <v>29</v>
      </c>
      <c r="H68" t="s">
        <v>27</v>
      </c>
      <c r="I68">
        <f t="shared" si="10"/>
        <v>6</v>
      </c>
      <c r="J68" t="s">
        <v>203</v>
      </c>
      <c r="K68">
        <v>2</v>
      </c>
      <c r="L68" t="str">
        <f t="shared" si="11"/>
        <v>Standard Order</v>
      </c>
      <c r="M68" t="str" cm="1">
        <f t="array" ref="M68">_xlfn.IFS(K68&gt;=25,"Bulk",K68&gt;=10,"Large",K68&lt;10,"Standard")</f>
        <v>Standard</v>
      </c>
      <c r="N68" s="2">
        <v>20.149999999999999</v>
      </c>
      <c r="O68" s="2">
        <f t="shared" si="12"/>
        <v>40.299999999999997</v>
      </c>
      <c r="P68" s="3">
        <v>46217</v>
      </c>
      <c r="Q68" s="5"/>
      <c r="R68" s="5" t="str">
        <f t="shared" si="13"/>
        <v>No Discount</v>
      </c>
      <c r="T68" s="4"/>
      <c r="U68" s="7">
        <f>O68*(1-T68)</f>
        <v>40.299999999999997</v>
      </c>
      <c r="V68" s="4"/>
    </row>
    <row r="69" spans="1:22" x14ac:dyDescent="0.25">
      <c r="A69">
        <v>100068</v>
      </c>
      <c r="B69" t="s">
        <v>47</v>
      </c>
      <c r="C69" t="str">
        <f t="shared" si="7"/>
        <v>HIS</v>
      </c>
      <c r="D69" t="str">
        <f t="shared" si="8"/>
        <v>061</v>
      </c>
      <c r="E69" t="str">
        <f t="shared" si="9"/>
        <v>HIS-061</v>
      </c>
      <c r="F69" t="s">
        <v>56</v>
      </c>
      <c r="G69" t="s">
        <v>42</v>
      </c>
      <c r="H69" t="s">
        <v>16</v>
      </c>
      <c r="I69">
        <f t="shared" si="10"/>
        <v>18</v>
      </c>
      <c r="J69" t="s">
        <v>203</v>
      </c>
      <c r="K69">
        <v>1</v>
      </c>
      <c r="L69" t="str">
        <f t="shared" si="11"/>
        <v>Standard Order</v>
      </c>
      <c r="M69" t="str" cm="1">
        <f t="array" ref="M69">_xlfn.IFS(K69&gt;=25,"Bulk",K69&gt;=10,"Large",K69&lt;10,"Standard")</f>
        <v>Standard</v>
      </c>
      <c r="N69" s="2">
        <v>25.99</v>
      </c>
      <c r="O69" s="2">
        <f t="shared" si="12"/>
        <v>25.99</v>
      </c>
      <c r="P69" s="3">
        <v>46218</v>
      </c>
      <c r="Q69" s="5"/>
      <c r="R69" s="5" t="str">
        <f t="shared" si="13"/>
        <v>No Discount</v>
      </c>
      <c r="T69" s="4"/>
      <c r="U69" s="7">
        <f>O69*(1-T69)</f>
        <v>25.99</v>
      </c>
      <c r="V69" s="4"/>
    </row>
    <row r="70" spans="1:22" x14ac:dyDescent="0.25">
      <c r="A70">
        <v>100069</v>
      </c>
      <c r="B70" t="s">
        <v>57</v>
      </c>
      <c r="C70" t="str">
        <f t="shared" si="7"/>
        <v>NFC</v>
      </c>
      <c r="D70" t="str">
        <f t="shared" si="8"/>
        <v>070</v>
      </c>
      <c r="E70" t="str">
        <f t="shared" si="9"/>
        <v>NFC-070</v>
      </c>
      <c r="F70" t="s">
        <v>123</v>
      </c>
      <c r="G70" t="s">
        <v>49</v>
      </c>
      <c r="H70" t="s">
        <v>59</v>
      </c>
      <c r="I70">
        <f t="shared" si="10"/>
        <v>10</v>
      </c>
      <c r="J70" t="s">
        <v>59</v>
      </c>
      <c r="K70">
        <v>10</v>
      </c>
      <c r="L70" t="str">
        <f t="shared" si="11"/>
        <v>Large Order</v>
      </c>
      <c r="M70" t="str" cm="1">
        <f t="array" ref="M70">_xlfn.IFS(K70&gt;=25,"Bulk",K70&gt;=10,"Large",K70&lt;10,"Standard")</f>
        <v>Large</v>
      </c>
      <c r="N70" s="2">
        <v>34.64</v>
      </c>
      <c r="O70" s="2">
        <f t="shared" si="12"/>
        <v>346.4</v>
      </c>
      <c r="P70" s="3">
        <v>46218</v>
      </c>
      <c r="Q70" s="5"/>
      <c r="R70" s="5" t="str">
        <f t="shared" si="13"/>
        <v>Discount</v>
      </c>
      <c r="S70" t="s">
        <v>17</v>
      </c>
      <c r="T70" s="4">
        <v>0.2</v>
      </c>
      <c r="U70" s="7">
        <f>O70*(1-T70)</f>
        <v>277.12</v>
      </c>
      <c r="V70" s="4"/>
    </row>
    <row r="71" spans="1:22" x14ac:dyDescent="0.25">
      <c r="A71">
        <v>100070</v>
      </c>
      <c r="B71" t="s">
        <v>13</v>
      </c>
      <c r="C71" t="str">
        <f t="shared" si="7"/>
        <v>HIS</v>
      </c>
      <c r="D71" t="str">
        <f t="shared" si="8"/>
        <v>074</v>
      </c>
      <c r="E71" t="str">
        <f t="shared" si="9"/>
        <v>HIS-074</v>
      </c>
      <c r="F71" t="s">
        <v>120</v>
      </c>
      <c r="G71" t="s">
        <v>42</v>
      </c>
      <c r="H71" t="s">
        <v>16</v>
      </c>
      <c r="I71">
        <f t="shared" si="10"/>
        <v>18</v>
      </c>
      <c r="J71" t="s">
        <v>203</v>
      </c>
      <c r="K71">
        <v>1</v>
      </c>
      <c r="L71" t="str">
        <f t="shared" si="11"/>
        <v>Standard Order</v>
      </c>
      <c r="M71" t="str" cm="1">
        <f t="array" ref="M71">_xlfn.IFS(K71&gt;=25,"Bulk",K71&gt;=10,"Large",K71&lt;10,"Standard")</f>
        <v>Standard</v>
      </c>
      <c r="N71" s="2">
        <v>12.49</v>
      </c>
      <c r="O71" s="2">
        <f t="shared" si="12"/>
        <v>12.49</v>
      </c>
      <c r="P71" s="3">
        <v>46219</v>
      </c>
      <c r="Q71" s="5"/>
      <c r="R71" s="5" t="str">
        <f t="shared" si="13"/>
        <v>No Discount</v>
      </c>
      <c r="T71" s="4"/>
      <c r="U71" s="7">
        <f>O71*(1-T71)</f>
        <v>12.49</v>
      </c>
      <c r="V71" s="4"/>
    </row>
    <row r="72" spans="1:22" x14ac:dyDescent="0.25">
      <c r="A72">
        <v>100071</v>
      </c>
      <c r="B72" t="s">
        <v>124</v>
      </c>
      <c r="C72" t="str">
        <f t="shared" si="7"/>
        <v>NFC</v>
      </c>
      <c r="D72" t="str">
        <f t="shared" si="8"/>
        <v>005</v>
      </c>
      <c r="E72" t="str">
        <f t="shared" si="9"/>
        <v>NFC-005</v>
      </c>
      <c r="F72" t="s">
        <v>56</v>
      </c>
      <c r="G72" t="s">
        <v>42</v>
      </c>
      <c r="H72" t="s">
        <v>59</v>
      </c>
      <c r="I72">
        <f t="shared" si="10"/>
        <v>10</v>
      </c>
      <c r="J72" t="s">
        <v>59</v>
      </c>
      <c r="K72">
        <v>1</v>
      </c>
      <c r="L72" t="str">
        <f t="shared" si="11"/>
        <v>Standard Order</v>
      </c>
      <c r="M72" t="str" cm="1">
        <f t="array" ref="M72">_xlfn.IFS(K72&gt;=25,"Bulk",K72&gt;=10,"Large",K72&lt;10,"Standard")</f>
        <v>Standard</v>
      </c>
      <c r="N72" s="2">
        <v>26.04</v>
      </c>
      <c r="O72" s="2">
        <f t="shared" si="12"/>
        <v>26.04</v>
      </c>
      <c r="P72" s="3">
        <v>46220</v>
      </c>
      <c r="Q72" s="5"/>
      <c r="R72" s="5" t="str">
        <f t="shared" si="13"/>
        <v>Discount</v>
      </c>
      <c r="S72" t="s">
        <v>17</v>
      </c>
      <c r="T72" s="4">
        <v>0.2</v>
      </c>
      <c r="U72" s="7">
        <f>O72*(1-T72)</f>
        <v>20.832000000000001</v>
      </c>
      <c r="V72" s="4"/>
    </row>
    <row r="73" spans="1:22" x14ac:dyDescent="0.25">
      <c r="A73">
        <v>100072</v>
      </c>
      <c r="B73" t="s">
        <v>60</v>
      </c>
      <c r="C73" t="str">
        <f t="shared" si="7"/>
        <v>SLF</v>
      </c>
      <c r="D73" t="str">
        <f t="shared" si="8"/>
        <v>064</v>
      </c>
      <c r="E73" t="str">
        <f t="shared" si="9"/>
        <v>SLF-064</v>
      </c>
      <c r="F73" t="s">
        <v>87</v>
      </c>
      <c r="G73" t="s">
        <v>29</v>
      </c>
      <c r="H73" t="s">
        <v>61</v>
      </c>
      <c r="I73">
        <f t="shared" si="10"/>
        <v>9</v>
      </c>
      <c r="J73" t="s">
        <v>59</v>
      </c>
      <c r="K73">
        <v>1</v>
      </c>
      <c r="L73" t="str">
        <f t="shared" si="11"/>
        <v>Standard Order</v>
      </c>
      <c r="M73" t="str" cm="1">
        <f t="array" ref="M73">_xlfn.IFS(K73&gt;=25,"Bulk",K73&gt;=10,"Large",K73&lt;10,"Standard")</f>
        <v>Standard</v>
      </c>
      <c r="N73" s="2">
        <v>19.149999999999999</v>
      </c>
      <c r="O73" s="2">
        <f t="shared" si="12"/>
        <v>19.149999999999999</v>
      </c>
      <c r="P73" s="3">
        <v>46220</v>
      </c>
      <c r="Q73" s="5"/>
      <c r="R73" s="5" t="str">
        <f t="shared" si="13"/>
        <v>No Discount</v>
      </c>
      <c r="T73" s="4"/>
      <c r="U73" s="7">
        <f>O73*(1-T73)</f>
        <v>19.149999999999999</v>
      </c>
      <c r="V73" s="4"/>
    </row>
    <row r="74" spans="1:22" x14ac:dyDescent="0.25">
      <c r="A74">
        <v>100073</v>
      </c>
      <c r="B74" t="s">
        <v>96</v>
      </c>
      <c r="C74" t="str">
        <f t="shared" si="7"/>
        <v>GRN</v>
      </c>
      <c r="D74" t="str">
        <f t="shared" si="8"/>
        <v>039</v>
      </c>
      <c r="E74" t="str">
        <f t="shared" si="9"/>
        <v>GRN-039</v>
      </c>
      <c r="F74" t="s">
        <v>123</v>
      </c>
      <c r="G74" t="s">
        <v>49</v>
      </c>
      <c r="H74" t="s">
        <v>40</v>
      </c>
      <c r="I74">
        <f t="shared" si="10"/>
        <v>13</v>
      </c>
      <c r="J74" t="s">
        <v>203</v>
      </c>
      <c r="K74">
        <v>12</v>
      </c>
      <c r="L74" t="str">
        <f t="shared" si="11"/>
        <v>Large Order</v>
      </c>
      <c r="M74" t="str" cm="1">
        <f t="array" ref="M74">_xlfn.IFS(K74&gt;=25,"Bulk",K74&gt;=10,"Large",K74&lt;10,"Standard")</f>
        <v>Large</v>
      </c>
      <c r="N74" s="2">
        <v>25.3</v>
      </c>
      <c r="O74" s="2">
        <f t="shared" si="12"/>
        <v>303.60000000000002</v>
      </c>
      <c r="P74" s="3">
        <v>46221</v>
      </c>
      <c r="Q74" s="5"/>
      <c r="R74" s="5" t="str">
        <f t="shared" si="13"/>
        <v>Discount</v>
      </c>
      <c r="S74" t="s">
        <v>68</v>
      </c>
      <c r="T74" s="4">
        <v>0.1</v>
      </c>
      <c r="U74" s="7">
        <f>O74*(1-T74)</f>
        <v>273.24</v>
      </c>
      <c r="V74" s="4"/>
    </row>
    <row r="75" spans="1:22" x14ac:dyDescent="0.25">
      <c r="A75">
        <v>100074</v>
      </c>
      <c r="B75" t="s">
        <v>126</v>
      </c>
      <c r="C75" t="str">
        <f t="shared" si="7"/>
        <v>HOR</v>
      </c>
      <c r="D75" t="str">
        <f t="shared" si="8"/>
        <v>047</v>
      </c>
      <c r="E75" t="str">
        <f t="shared" si="9"/>
        <v>HOR-047</v>
      </c>
      <c r="F75" t="s">
        <v>127</v>
      </c>
      <c r="G75" t="s">
        <v>49</v>
      </c>
      <c r="H75" t="s">
        <v>27</v>
      </c>
      <c r="I75">
        <f t="shared" si="10"/>
        <v>6</v>
      </c>
      <c r="J75" t="s">
        <v>203</v>
      </c>
      <c r="K75">
        <v>16</v>
      </c>
      <c r="L75" t="str">
        <f t="shared" si="11"/>
        <v>Large Order</v>
      </c>
      <c r="M75" t="str" cm="1">
        <f t="array" ref="M75">_xlfn.IFS(K75&gt;=25,"Bulk",K75&gt;=10,"Large",K75&lt;10,"Standard")</f>
        <v>Large</v>
      </c>
      <c r="N75" s="2">
        <v>18.690000000000001</v>
      </c>
      <c r="O75" s="2">
        <f t="shared" si="12"/>
        <v>299.04000000000002</v>
      </c>
      <c r="P75" s="3">
        <v>46222</v>
      </c>
      <c r="Q75" s="5"/>
      <c r="R75" s="5" t="str">
        <f t="shared" si="13"/>
        <v>No Discount</v>
      </c>
      <c r="T75" s="4"/>
      <c r="U75" s="7">
        <f>O75*(1-T75)</f>
        <v>299.04000000000002</v>
      </c>
      <c r="V75" s="4"/>
    </row>
    <row r="76" spans="1:22" x14ac:dyDescent="0.25">
      <c r="A76">
        <v>100075</v>
      </c>
      <c r="B76" t="s">
        <v>128</v>
      </c>
      <c r="C76" t="str">
        <f t="shared" si="7"/>
        <v>HIS</v>
      </c>
      <c r="D76" t="str">
        <f t="shared" si="8"/>
        <v>048</v>
      </c>
      <c r="E76" t="str">
        <f t="shared" si="9"/>
        <v>HIS-048</v>
      </c>
      <c r="F76" t="s">
        <v>10</v>
      </c>
      <c r="G76" t="s">
        <v>29</v>
      </c>
      <c r="H76" t="s">
        <v>16</v>
      </c>
      <c r="I76">
        <f t="shared" si="10"/>
        <v>18</v>
      </c>
      <c r="J76" t="s">
        <v>203</v>
      </c>
      <c r="K76">
        <v>1</v>
      </c>
      <c r="L76" t="str">
        <f t="shared" si="11"/>
        <v>Standard Order</v>
      </c>
      <c r="M76" t="str" cm="1">
        <f t="array" ref="M76">_xlfn.IFS(K76&gt;=25,"Bulk",K76&gt;=10,"Large",K76&lt;10,"Standard")</f>
        <v>Standard</v>
      </c>
      <c r="N76" s="2">
        <v>11.4</v>
      </c>
      <c r="O76" s="2">
        <f t="shared" si="12"/>
        <v>11.4</v>
      </c>
      <c r="P76" s="3">
        <v>46222</v>
      </c>
      <c r="Q76" s="5"/>
      <c r="R76" s="5" t="str">
        <f t="shared" si="13"/>
        <v>No Discount</v>
      </c>
      <c r="T76" s="4"/>
      <c r="U76" s="7">
        <f>O76*(1-T76)</f>
        <v>11.4</v>
      </c>
      <c r="V76" s="4"/>
    </row>
    <row r="77" spans="1:22" x14ac:dyDescent="0.25">
      <c r="A77">
        <v>100076</v>
      </c>
      <c r="B77" t="s">
        <v>86</v>
      </c>
      <c r="C77" t="str">
        <f t="shared" si="7"/>
        <v>GRN</v>
      </c>
      <c r="D77" t="str">
        <f t="shared" si="8"/>
        <v>052</v>
      </c>
      <c r="E77" t="str">
        <f t="shared" si="9"/>
        <v>GRN-052</v>
      </c>
      <c r="F77" t="s">
        <v>129</v>
      </c>
      <c r="G77" t="s">
        <v>29</v>
      </c>
      <c r="H77" t="s">
        <v>40</v>
      </c>
      <c r="I77">
        <f t="shared" si="10"/>
        <v>13</v>
      </c>
      <c r="J77" t="s">
        <v>203</v>
      </c>
      <c r="K77">
        <v>2</v>
      </c>
      <c r="L77" t="str">
        <f t="shared" si="11"/>
        <v>Standard Order</v>
      </c>
      <c r="M77" t="str" cm="1">
        <f t="array" ref="M77">_xlfn.IFS(K77&gt;=25,"Bulk",K77&gt;=10,"Large",K77&lt;10,"Standard")</f>
        <v>Standard</v>
      </c>
      <c r="N77" s="2">
        <v>28.31</v>
      </c>
      <c r="O77" s="2">
        <f t="shared" si="12"/>
        <v>56.62</v>
      </c>
      <c r="P77" s="3">
        <v>46223</v>
      </c>
      <c r="Q77" s="5"/>
      <c r="R77" s="5" t="str">
        <f t="shared" si="13"/>
        <v>No Discount</v>
      </c>
      <c r="T77" s="4"/>
      <c r="U77" s="7">
        <f>O77*(1-T77)</f>
        <v>56.62</v>
      </c>
      <c r="V77" s="4"/>
    </row>
    <row r="78" spans="1:22" x14ac:dyDescent="0.25">
      <c r="A78">
        <v>100077</v>
      </c>
      <c r="B78" t="s">
        <v>50</v>
      </c>
      <c r="C78" t="str">
        <f t="shared" si="7"/>
        <v>BIO</v>
      </c>
      <c r="D78" t="str">
        <f t="shared" si="8"/>
        <v>071</v>
      </c>
      <c r="E78" t="str">
        <f t="shared" si="9"/>
        <v>BIO-071</v>
      </c>
      <c r="F78" t="s">
        <v>19</v>
      </c>
      <c r="G78" t="s">
        <v>29</v>
      </c>
      <c r="H78" t="s">
        <v>52</v>
      </c>
      <c r="I78">
        <f t="shared" si="10"/>
        <v>9</v>
      </c>
      <c r="J78" t="s">
        <v>59</v>
      </c>
      <c r="K78">
        <v>2</v>
      </c>
      <c r="L78" t="str">
        <f t="shared" si="11"/>
        <v>Standard Order</v>
      </c>
      <c r="M78" t="str" cm="1">
        <f t="array" ref="M78">_xlfn.IFS(K78&gt;=25,"Bulk",K78&gt;=10,"Large",K78&lt;10,"Standard")</f>
        <v>Standard</v>
      </c>
      <c r="N78" s="2">
        <v>18.95</v>
      </c>
      <c r="O78" s="2">
        <f t="shared" si="12"/>
        <v>37.9</v>
      </c>
      <c r="P78" s="3">
        <v>46224</v>
      </c>
      <c r="Q78" s="5"/>
      <c r="R78" s="5" t="str">
        <f t="shared" si="13"/>
        <v>Discount</v>
      </c>
      <c r="S78" t="s">
        <v>17</v>
      </c>
      <c r="T78" s="4">
        <v>0.2</v>
      </c>
      <c r="U78" s="7">
        <f>O78*(1-T78)</f>
        <v>30.32</v>
      </c>
      <c r="V78" s="4"/>
    </row>
    <row r="79" spans="1:22" x14ac:dyDescent="0.25">
      <c r="A79">
        <v>100078</v>
      </c>
      <c r="B79" t="s">
        <v>130</v>
      </c>
      <c r="C79" t="str">
        <f t="shared" si="7"/>
        <v>YAD</v>
      </c>
      <c r="D79" t="str">
        <f t="shared" si="8"/>
        <v>050</v>
      </c>
      <c r="E79" t="str">
        <f t="shared" si="9"/>
        <v>YAD-050</v>
      </c>
      <c r="F79" t="s">
        <v>87</v>
      </c>
      <c r="G79" t="s">
        <v>29</v>
      </c>
      <c r="H79" t="s">
        <v>55</v>
      </c>
      <c r="I79">
        <f t="shared" si="10"/>
        <v>11</v>
      </c>
      <c r="J79" t="s">
        <v>203</v>
      </c>
      <c r="K79">
        <v>2</v>
      </c>
      <c r="L79" t="str">
        <f t="shared" si="11"/>
        <v>Standard Order</v>
      </c>
      <c r="M79" t="str" cm="1">
        <f t="array" ref="M79">_xlfn.IFS(K79&gt;=25,"Bulk",K79&gt;=10,"Large",K79&lt;10,"Standard")</f>
        <v>Standard</v>
      </c>
      <c r="N79" s="2">
        <v>32.86</v>
      </c>
      <c r="O79" s="2">
        <f t="shared" si="12"/>
        <v>65.72</v>
      </c>
      <c r="P79" s="3">
        <v>46224</v>
      </c>
      <c r="Q79" s="5"/>
      <c r="R79" s="5" t="str">
        <f t="shared" si="13"/>
        <v>No Discount</v>
      </c>
      <c r="T79" s="4"/>
      <c r="U79" s="7">
        <f>O79*(1-T79)</f>
        <v>65.72</v>
      </c>
      <c r="V79" s="4"/>
    </row>
    <row r="80" spans="1:22" x14ac:dyDescent="0.25">
      <c r="A80">
        <v>100079</v>
      </c>
      <c r="B80" t="s">
        <v>45</v>
      </c>
      <c r="C80" t="str">
        <f t="shared" si="7"/>
        <v>SCI</v>
      </c>
      <c r="D80" t="str">
        <f t="shared" si="8"/>
        <v>069</v>
      </c>
      <c r="E80" t="str">
        <f t="shared" si="9"/>
        <v>SCI-069</v>
      </c>
      <c r="F80" t="s">
        <v>131</v>
      </c>
      <c r="G80" t="s">
        <v>42</v>
      </c>
      <c r="H80" t="s">
        <v>23</v>
      </c>
      <c r="I80">
        <f t="shared" si="10"/>
        <v>15</v>
      </c>
      <c r="J80" t="s">
        <v>203</v>
      </c>
      <c r="K80">
        <v>1</v>
      </c>
      <c r="L80" t="str">
        <f t="shared" si="11"/>
        <v>Standard Order</v>
      </c>
      <c r="M80" t="str" cm="1">
        <f t="array" ref="M80">_xlfn.IFS(K80&gt;=25,"Bulk",K80&gt;=10,"Large",K80&lt;10,"Standard")</f>
        <v>Standard</v>
      </c>
      <c r="N80" s="2">
        <v>26.8</v>
      </c>
      <c r="O80" s="2">
        <f t="shared" si="12"/>
        <v>26.8</v>
      </c>
      <c r="P80" s="3">
        <v>46225</v>
      </c>
      <c r="Q80" s="5"/>
      <c r="R80" s="5" t="str">
        <f t="shared" si="13"/>
        <v>No Discount</v>
      </c>
      <c r="T80" s="4"/>
      <c r="U80" s="7">
        <f>O80*(1-T80)</f>
        <v>26.8</v>
      </c>
      <c r="V80" s="4"/>
    </row>
    <row r="81" spans="1:22" x14ac:dyDescent="0.25">
      <c r="A81">
        <v>100080</v>
      </c>
      <c r="B81" t="s">
        <v>132</v>
      </c>
      <c r="C81" t="str">
        <f t="shared" si="7"/>
        <v>YAD</v>
      </c>
      <c r="D81" t="str">
        <f t="shared" si="8"/>
        <v>011</v>
      </c>
      <c r="E81" t="str">
        <f t="shared" si="9"/>
        <v>YAD-011</v>
      </c>
      <c r="F81" t="s">
        <v>133</v>
      </c>
      <c r="G81" t="s">
        <v>15</v>
      </c>
      <c r="H81" t="s">
        <v>55</v>
      </c>
      <c r="I81">
        <f t="shared" si="10"/>
        <v>11</v>
      </c>
      <c r="J81" t="s">
        <v>203</v>
      </c>
      <c r="K81">
        <v>10</v>
      </c>
      <c r="L81" t="str">
        <f t="shared" si="11"/>
        <v>Large Order</v>
      </c>
      <c r="M81" t="str" cm="1">
        <f t="array" ref="M81">_xlfn.IFS(K81&gt;=25,"Bulk",K81&gt;=10,"Large",K81&lt;10,"Standard")</f>
        <v>Large</v>
      </c>
      <c r="N81" s="2">
        <v>34.119999999999997</v>
      </c>
      <c r="O81" s="2">
        <f t="shared" si="12"/>
        <v>341.2</v>
      </c>
      <c r="P81" s="3">
        <v>46226</v>
      </c>
      <c r="Q81" s="5"/>
      <c r="R81" s="5" t="str">
        <f t="shared" si="13"/>
        <v>No Discount</v>
      </c>
      <c r="T81" s="4"/>
      <c r="U81" s="7">
        <f>O81*(1-T81)</f>
        <v>341.2</v>
      </c>
      <c r="V81" s="4"/>
    </row>
    <row r="82" spans="1:22" x14ac:dyDescent="0.25">
      <c r="A82">
        <v>100081</v>
      </c>
      <c r="B82" t="s">
        <v>72</v>
      </c>
      <c r="C82" t="str">
        <f t="shared" si="7"/>
        <v>POE</v>
      </c>
      <c r="D82" t="str">
        <f t="shared" si="8"/>
        <v>072</v>
      </c>
      <c r="E82" t="str">
        <f t="shared" si="9"/>
        <v>POE-072</v>
      </c>
      <c r="F82" t="s">
        <v>123</v>
      </c>
      <c r="G82" t="s">
        <v>49</v>
      </c>
      <c r="H82" t="s">
        <v>74</v>
      </c>
      <c r="I82">
        <f t="shared" si="10"/>
        <v>6</v>
      </c>
      <c r="J82" t="s">
        <v>59</v>
      </c>
      <c r="K82">
        <v>25</v>
      </c>
      <c r="L82" t="str">
        <f t="shared" si="11"/>
        <v>Large Order</v>
      </c>
      <c r="M82" t="str" cm="1">
        <f t="array" ref="M82">_xlfn.IFS(K82&gt;=25,"Bulk",K82&gt;=10,"Large",K82&lt;10,"Standard")</f>
        <v>Bulk</v>
      </c>
      <c r="N82" s="2">
        <v>30.11</v>
      </c>
      <c r="O82" s="2">
        <f t="shared" si="12"/>
        <v>752.75</v>
      </c>
      <c r="P82" s="3">
        <v>46226</v>
      </c>
      <c r="Q82" s="5"/>
      <c r="R82" s="5" t="str">
        <f t="shared" si="13"/>
        <v>No Discount</v>
      </c>
      <c r="T82" s="4"/>
      <c r="U82" s="7">
        <f>O82*(1-T82)</f>
        <v>752.75</v>
      </c>
      <c r="V82" s="4"/>
    </row>
    <row r="83" spans="1:22" x14ac:dyDescent="0.25">
      <c r="A83">
        <v>100082</v>
      </c>
      <c r="B83" t="s">
        <v>134</v>
      </c>
      <c r="C83" t="str">
        <f t="shared" si="7"/>
        <v>SLF</v>
      </c>
      <c r="D83" t="str">
        <f t="shared" si="8"/>
        <v>038</v>
      </c>
      <c r="E83" t="str">
        <f t="shared" si="9"/>
        <v>SLF-038</v>
      </c>
      <c r="F83" t="s">
        <v>135</v>
      </c>
      <c r="G83" t="s">
        <v>49</v>
      </c>
      <c r="H83" t="s">
        <v>61</v>
      </c>
      <c r="I83">
        <f t="shared" si="10"/>
        <v>9</v>
      </c>
      <c r="J83" t="s">
        <v>59</v>
      </c>
      <c r="K83">
        <v>18</v>
      </c>
      <c r="L83" t="str">
        <f t="shared" si="11"/>
        <v>Large Order</v>
      </c>
      <c r="M83" t="str" cm="1">
        <f t="array" ref="M83">_xlfn.IFS(K83&gt;=25,"Bulk",K83&gt;=10,"Large",K83&lt;10,"Standard")</f>
        <v>Large</v>
      </c>
      <c r="N83" s="2">
        <v>27.48</v>
      </c>
      <c r="O83" s="2">
        <f t="shared" si="12"/>
        <v>494.64</v>
      </c>
      <c r="P83" s="3">
        <v>46227</v>
      </c>
      <c r="Q83" s="5"/>
      <c r="R83" s="5" t="str">
        <f t="shared" si="13"/>
        <v>No Discount</v>
      </c>
      <c r="T83" s="4"/>
      <c r="U83" s="7">
        <f>O83*(1-T83)</f>
        <v>494.64</v>
      </c>
      <c r="V83" s="4"/>
    </row>
    <row r="84" spans="1:22" x14ac:dyDescent="0.25">
      <c r="A84">
        <v>100083</v>
      </c>
      <c r="B84" t="s">
        <v>28</v>
      </c>
      <c r="C84" t="str">
        <f t="shared" si="7"/>
        <v>MYS</v>
      </c>
      <c r="D84" t="str">
        <f t="shared" si="8"/>
        <v>066</v>
      </c>
      <c r="E84" t="str">
        <f t="shared" si="9"/>
        <v>MYS-066</v>
      </c>
      <c r="F84" t="s">
        <v>41</v>
      </c>
      <c r="G84" t="s">
        <v>42</v>
      </c>
      <c r="H84" t="s">
        <v>30</v>
      </c>
      <c r="I84">
        <f t="shared" si="10"/>
        <v>7</v>
      </c>
      <c r="J84" t="s">
        <v>203</v>
      </c>
      <c r="K84">
        <v>2</v>
      </c>
      <c r="L84" t="str">
        <f t="shared" si="11"/>
        <v>Standard Order</v>
      </c>
      <c r="M84" t="str" cm="1">
        <f t="array" ref="M84">_xlfn.IFS(K84&gt;=25,"Bulk",K84&gt;=10,"Large",K84&lt;10,"Standard")</f>
        <v>Standard</v>
      </c>
      <c r="N84" s="2">
        <v>26.28</v>
      </c>
      <c r="O84" s="2">
        <f t="shared" si="12"/>
        <v>52.56</v>
      </c>
      <c r="P84" s="3">
        <v>46228</v>
      </c>
      <c r="Q84" s="5"/>
      <c r="R84" s="5" t="str">
        <f t="shared" si="13"/>
        <v>No Discount</v>
      </c>
      <c r="T84" s="4"/>
      <c r="U84" s="7">
        <f>O84*(1-T84)</f>
        <v>52.56</v>
      </c>
      <c r="V84" s="4"/>
    </row>
    <row r="85" spans="1:22" x14ac:dyDescent="0.25">
      <c r="A85">
        <v>100084</v>
      </c>
      <c r="B85" t="s">
        <v>136</v>
      </c>
      <c r="C85" t="str">
        <f t="shared" si="7"/>
        <v>NFC</v>
      </c>
      <c r="D85" t="str">
        <f t="shared" si="8"/>
        <v>044</v>
      </c>
      <c r="E85" t="str">
        <f t="shared" si="9"/>
        <v>NFC-044</v>
      </c>
      <c r="F85" t="s">
        <v>135</v>
      </c>
      <c r="G85" t="s">
        <v>49</v>
      </c>
      <c r="H85" t="s">
        <v>59</v>
      </c>
      <c r="I85">
        <f t="shared" si="10"/>
        <v>10</v>
      </c>
      <c r="J85" t="s">
        <v>59</v>
      </c>
      <c r="K85">
        <v>12</v>
      </c>
      <c r="L85" t="str">
        <f t="shared" si="11"/>
        <v>Large Order</v>
      </c>
      <c r="M85" t="str" cm="1">
        <f t="array" ref="M85">_xlfn.IFS(K85&gt;=25,"Bulk",K85&gt;=10,"Large",K85&lt;10,"Standard")</f>
        <v>Large</v>
      </c>
      <c r="N85" s="2">
        <v>26</v>
      </c>
      <c r="O85" s="2">
        <f t="shared" si="12"/>
        <v>312</v>
      </c>
      <c r="P85" s="3">
        <v>46228</v>
      </c>
      <c r="Q85" s="5"/>
      <c r="R85" s="5" t="str">
        <f t="shared" si="13"/>
        <v>No Discount</v>
      </c>
      <c r="T85" s="4"/>
      <c r="U85" s="7">
        <f>O85*(1-T85)</f>
        <v>312</v>
      </c>
      <c r="V85" s="4"/>
    </row>
    <row r="86" spans="1:22" x14ac:dyDescent="0.25">
      <c r="A86">
        <v>100085</v>
      </c>
      <c r="B86" t="s">
        <v>13</v>
      </c>
      <c r="C86" t="str">
        <f t="shared" si="7"/>
        <v>HIS</v>
      </c>
      <c r="D86" t="str">
        <f t="shared" si="8"/>
        <v>074</v>
      </c>
      <c r="E86" t="str">
        <f t="shared" si="9"/>
        <v>HIS-074</v>
      </c>
      <c r="F86" t="s">
        <v>77</v>
      </c>
      <c r="G86" t="s">
        <v>15</v>
      </c>
      <c r="H86" t="s">
        <v>16</v>
      </c>
      <c r="I86">
        <f t="shared" si="10"/>
        <v>18</v>
      </c>
      <c r="J86" t="s">
        <v>203</v>
      </c>
      <c r="K86">
        <v>11</v>
      </c>
      <c r="L86" t="str">
        <f t="shared" si="11"/>
        <v>Large Order</v>
      </c>
      <c r="M86" t="str" cm="1">
        <f t="array" ref="M86">_xlfn.IFS(K86&gt;=25,"Bulk",K86&gt;=10,"Large",K86&lt;10,"Standard")</f>
        <v>Large</v>
      </c>
      <c r="N86" s="2">
        <v>17.47</v>
      </c>
      <c r="O86" s="2">
        <f t="shared" si="12"/>
        <v>192.17</v>
      </c>
      <c r="P86" s="3">
        <v>46229</v>
      </c>
      <c r="Q86" s="5"/>
      <c r="R86" s="5" t="str">
        <f t="shared" si="13"/>
        <v>No Discount</v>
      </c>
      <c r="T86" s="4"/>
      <c r="U86" s="7">
        <f>O86*(1-T86)</f>
        <v>192.17</v>
      </c>
      <c r="V86" s="4"/>
    </row>
    <row r="87" spans="1:22" x14ac:dyDescent="0.25">
      <c r="A87">
        <v>100086</v>
      </c>
      <c r="B87" t="s">
        <v>28</v>
      </c>
      <c r="C87" t="str">
        <f t="shared" si="7"/>
        <v>MYS</v>
      </c>
      <c r="D87" t="str">
        <f t="shared" si="8"/>
        <v>066</v>
      </c>
      <c r="E87" t="str">
        <f t="shared" si="9"/>
        <v>MYS-066</v>
      </c>
      <c r="F87" t="s">
        <v>137</v>
      </c>
      <c r="G87" t="s">
        <v>11</v>
      </c>
      <c r="H87" t="s">
        <v>30</v>
      </c>
      <c r="I87">
        <f t="shared" si="10"/>
        <v>7</v>
      </c>
      <c r="J87" t="s">
        <v>203</v>
      </c>
      <c r="K87">
        <v>1</v>
      </c>
      <c r="L87" t="str">
        <f t="shared" si="11"/>
        <v>Standard Order</v>
      </c>
      <c r="M87" t="str" cm="1">
        <f t="array" ref="M87">_xlfn.IFS(K87&gt;=25,"Bulk",K87&gt;=10,"Large",K87&lt;10,"Standard")</f>
        <v>Standard</v>
      </c>
      <c r="N87" s="2">
        <v>27.48</v>
      </c>
      <c r="O87" s="2">
        <f t="shared" si="12"/>
        <v>27.48</v>
      </c>
      <c r="P87" s="3">
        <v>46230</v>
      </c>
      <c r="Q87" s="5"/>
      <c r="R87" s="5" t="str">
        <f t="shared" si="13"/>
        <v>No Discount</v>
      </c>
      <c r="T87" s="4"/>
      <c r="U87" s="7">
        <f>O87*(1-T87)</f>
        <v>27.48</v>
      </c>
      <c r="V87" s="4"/>
    </row>
    <row r="88" spans="1:22" x14ac:dyDescent="0.25">
      <c r="A88">
        <v>100087</v>
      </c>
      <c r="B88" t="s">
        <v>45</v>
      </c>
      <c r="C88" t="str">
        <f t="shared" si="7"/>
        <v>SCI</v>
      </c>
      <c r="D88" t="str">
        <f t="shared" si="8"/>
        <v>069</v>
      </c>
      <c r="E88" t="str">
        <f t="shared" si="9"/>
        <v>SCI-069</v>
      </c>
      <c r="F88" t="s">
        <v>41</v>
      </c>
      <c r="G88" t="s">
        <v>42</v>
      </c>
      <c r="H88" t="s">
        <v>23</v>
      </c>
      <c r="I88">
        <f t="shared" si="10"/>
        <v>15</v>
      </c>
      <c r="J88" t="s">
        <v>203</v>
      </c>
      <c r="K88">
        <v>2</v>
      </c>
      <c r="L88" t="str">
        <f t="shared" si="11"/>
        <v>Standard Order</v>
      </c>
      <c r="M88" t="str" cm="1">
        <f t="array" ref="M88">_xlfn.IFS(K88&gt;=25,"Bulk",K88&gt;=10,"Large",K88&lt;10,"Standard")</f>
        <v>Standard</v>
      </c>
      <c r="N88" s="2">
        <v>10.67</v>
      </c>
      <c r="O88" s="2">
        <f t="shared" si="12"/>
        <v>21.34</v>
      </c>
      <c r="P88" s="3">
        <v>46230</v>
      </c>
      <c r="Q88" s="5"/>
      <c r="R88" s="5" t="str">
        <f t="shared" si="13"/>
        <v>No Discount</v>
      </c>
      <c r="T88" s="4"/>
      <c r="U88" s="7">
        <f>O88*(1-T88)</f>
        <v>21.34</v>
      </c>
      <c r="V88" s="4"/>
    </row>
    <row r="89" spans="1:22" x14ac:dyDescent="0.25">
      <c r="A89">
        <v>100088</v>
      </c>
      <c r="B89" t="s">
        <v>9</v>
      </c>
      <c r="C89" t="str">
        <f t="shared" si="7"/>
        <v>FAN</v>
      </c>
      <c r="D89" t="str">
        <f t="shared" si="8"/>
        <v>068</v>
      </c>
      <c r="E89" t="str">
        <f t="shared" si="9"/>
        <v>FAN-068</v>
      </c>
      <c r="F89" t="s">
        <v>123</v>
      </c>
      <c r="G89" t="s">
        <v>49</v>
      </c>
      <c r="H89" t="s">
        <v>12</v>
      </c>
      <c r="I89">
        <f t="shared" si="10"/>
        <v>7</v>
      </c>
      <c r="J89" t="s">
        <v>203</v>
      </c>
      <c r="K89">
        <v>21</v>
      </c>
      <c r="L89" t="str">
        <f t="shared" si="11"/>
        <v>Large Order</v>
      </c>
      <c r="M89" t="str" cm="1">
        <f t="array" ref="M89">_xlfn.IFS(K89&gt;=25,"Bulk",K89&gt;=10,"Large",K89&lt;10,"Standard")</f>
        <v>Large</v>
      </c>
      <c r="N89" s="2">
        <v>19.52</v>
      </c>
      <c r="O89" s="2">
        <f t="shared" si="12"/>
        <v>409.92</v>
      </c>
      <c r="P89" s="3">
        <v>46231</v>
      </c>
      <c r="Q89" s="5"/>
      <c r="R89" s="5" t="str">
        <f t="shared" si="13"/>
        <v>No Discount</v>
      </c>
      <c r="T89" s="4"/>
      <c r="U89" s="7">
        <f>O89*(1-T89)</f>
        <v>409.92</v>
      </c>
      <c r="V89" s="4"/>
    </row>
    <row r="90" spans="1:22" x14ac:dyDescent="0.25">
      <c r="A90">
        <v>100089</v>
      </c>
      <c r="B90" t="s">
        <v>53</v>
      </c>
      <c r="C90" t="str">
        <f t="shared" si="7"/>
        <v>YAD</v>
      </c>
      <c r="D90" t="str">
        <f t="shared" si="8"/>
        <v>063</v>
      </c>
      <c r="E90" t="str">
        <f t="shared" si="9"/>
        <v>YAD-063</v>
      </c>
      <c r="F90" t="s">
        <v>138</v>
      </c>
      <c r="G90" t="s">
        <v>49</v>
      </c>
      <c r="H90" t="s">
        <v>55</v>
      </c>
      <c r="I90">
        <f t="shared" si="10"/>
        <v>11</v>
      </c>
      <c r="J90" t="s">
        <v>203</v>
      </c>
      <c r="K90">
        <v>17</v>
      </c>
      <c r="L90" t="str">
        <f t="shared" si="11"/>
        <v>Large Order</v>
      </c>
      <c r="M90" t="str" cm="1">
        <f t="array" ref="M90">_xlfn.IFS(K90&gt;=25,"Bulk",K90&gt;=10,"Large",K90&lt;10,"Standard")</f>
        <v>Large</v>
      </c>
      <c r="N90" s="2">
        <v>23.72</v>
      </c>
      <c r="O90" s="2">
        <f t="shared" si="12"/>
        <v>403.24</v>
      </c>
      <c r="P90" s="3">
        <v>46231</v>
      </c>
      <c r="Q90" s="5"/>
      <c r="R90" s="5" t="str">
        <f t="shared" si="13"/>
        <v>No Discount</v>
      </c>
      <c r="T90" s="4"/>
      <c r="U90" s="7">
        <f>O90*(1-T90)</f>
        <v>403.24</v>
      </c>
      <c r="V90" s="4"/>
    </row>
    <row r="91" spans="1:22" x14ac:dyDescent="0.25">
      <c r="A91">
        <v>100090</v>
      </c>
      <c r="B91" t="s">
        <v>139</v>
      </c>
      <c r="C91" t="str">
        <f t="shared" si="7"/>
        <v>BIO</v>
      </c>
      <c r="D91" t="str">
        <f t="shared" si="8"/>
        <v>032</v>
      </c>
      <c r="E91" t="str">
        <f t="shared" si="9"/>
        <v>BIO-032</v>
      </c>
      <c r="F91" t="s">
        <v>108</v>
      </c>
      <c r="G91" t="s">
        <v>42</v>
      </c>
      <c r="H91" t="s">
        <v>52</v>
      </c>
      <c r="I91">
        <f t="shared" si="10"/>
        <v>9</v>
      </c>
      <c r="J91" t="s">
        <v>59</v>
      </c>
      <c r="K91">
        <v>1</v>
      </c>
      <c r="L91" t="str">
        <f t="shared" si="11"/>
        <v>Standard Order</v>
      </c>
      <c r="M91" t="str" cm="1">
        <f t="array" ref="M91">_xlfn.IFS(K91&gt;=25,"Bulk",K91&gt;=10,"Large",K91&lt;10,"Standard")</f>
        <v>Standard</v>
      </c>
      <c r="N91" s="2">
        <v>16.559999999999999</v>
      </c>
      <c r="O91" s="2">
        <f t="shared" si="12"/>
        <v>16.559999999999999</v>
      </c>
      <c r="P91" s="3">
        <v>46232</v>
      </c>
      <c r="Q91" s="5"/>
      <c r="R91" s="5" t="str">
        <f t="shared" si="13"/>
        <v>No Discount</v>
      </c>
      <c r="T91" s="4"/>
      <c r="U91" s="7">
        <f>O91*(1-T91)</f>
        <v>16.559999999999999</v>
      </c>
      <c r="V91" s="4"/>
    </row>
    <row r="92" spans="1:22" x14ac:dyDescent="0.25">
      <c r="A92">
        <v>100091</v>
      </c>
      <c r="B92" t="s">
        <v>35</v>
      </c>
      <c r="C92" t="str">
        <f t="shared" si="7"/>
        <v>ROM</v>
      </c>
      <c r="D92" t="str">
        <f t="shared" si="8"/>
        <v>067</v>
      </c>
      <c r="E92" t="str">
        <f t="shared" si="9"/>
        <v>ROM-067</v>
      </c>
      <c r="F92" t="s">
        <v>122</v>
      </c>
      <c r="G92" t="s">
        <v>29</v>
      </c>
      <c r="H92" t="s">
        <v>37</v>
      </c>
      <c r="I92">
        <f t="shared" si="10"/>
        <v>7</v>
      </c>
      <c r="J92" t="s">
        <v>203</v>
      </c>
      <c r="K92">
        <v>1</v>
      </c>
      <c r="L92" t="str">
        <f t="shared" si="11"/>
        <v>Standard Order</v>
      </c>
      <c r="M92" t="str" cm="1">
        <f t="array" ref="M92">_xlfn.IFS(K92&gt;=25,"Bulk",K92&gt;=10,"Large",K92&lt;10,"Standard")</f>
        <v>Standard</v>
      </c>
      <c r="N92" s="2">
        <v>23.05</v>
      </c>
      <c r="O92" s="2">
        <f t="shared" si="12"/>
        <v>23.05</v>
      </c>
      <c r="P92" s="3">
        <v>46233</v>
      </c>
      <c r="Q92" s="5"/>
      <c r="R92" s="5" t="str">
        <f t="shared" si="13"/>
        <v>No Discount</v>
      </c>
      <c r="T92" s="4"/>
      <c r="U92" s="7">
        <f>O92*(1-T92)</f>
        <v>23.05</v>
      </c>
      <c r="V92" s="4"/>
    </row>
    <row r="93" spans="1:22" x14ac:dyDescent="0.25">
      <c r="A93">
        <v>100092</v>
      </c>
      <c r="B93" t="s">
        <v>53</v>
      </c>
      <c r="C93" t="str">
        <f t="shared" si="7"/>
        <v>YAD</v>
      </c>
      <c r="D93" t="str">
        <f t="shared" si="8"/>
        <v>063</v>
      </c>
      <c r="E93" t="str">
        <f t="shared" si="9"/>
        <v>YAD-063</v>
      </c>
      <c r="F93" t="s">
        <v>106</v>
      </c>
      <c r="G93" t="s">
        <v>29</v>
      </c>
      <c r="H93" t="s">
        <v>55</v>
      </c>
      <c r="I93">
        <f t="shared" si="10"/>
        <v>11</v>
      </c>
      <c r="J93" t="s">
        <v>203</v>
      </c>
      <c r="K93">
        <v>1</v>
      </c>
      <c r="L93" t="str">
        <f t="shared" si="11"/>
        <v>Standard Order</v>
      </c>
      <c r="M93" t="str" cm="1">
        <f t="array" ref="M93">_xlfn.IFS(K93&gt;=25,"Bulk",K93&gt;=10,"Large",K93&lt;10,"Standard")</f>
        <v>Standard</v>
      </c>
      <c r="N93" s="2">
        <v>12.23</v>
      </c>
      <c r="O93" s="2">
        <f t="shared" si="12"/>
        <v>12.23</v>
      </c>
      <c r="P93" s="3">
        <v>46233</v>
      </c>
      <c r="Q93" s="5"/>
      <c r="R93" s="5" t="str">
        <f t="shared" si="13"/>
        <v>Discount</v>
      </c>
      <c r="S93" t="s">
        <v>98</v>
      </c>
      <c r="T93" s="4">
        <v>0.2</v>
      </c>
      <c r="U93" s="7">
        <f>O93*(1-T93)</f>
        <v>9.7840000000000007</v>
      </c>
      <c r="V93" s="4"/>
    </row>
    <row r="94" spans="1:22" x14ac:dyDescent="0.25">
      <c r="A94">
        <v>100093</v>
      </c>
      <c r="B94" t="s">
        <v>38</v>
      </c>
      <c r="C94" t="str">
        <f t="shared" si="7"/>
        <v>GRN</v>
      </c>
      <c r="D94" t="str">
        <f t="shared" si="8"/>
        <v>065</v>
      </c>
      <c r="E94" t="str">
        <f t="shared" si="9"/>
        <v>GRN-065</v>
      </c>
      <c r="F94" t="s">
        <v>10</v>
      </c>
      <c r="G94" t="s">
        <v>29</v>
      </c>
      <c r="H94" t="s">
        <v>40</v>
      </c>
      <c r="I94">
        <f t="shared" si="10"/>
        <v>13</v>
      </c>
      <c r="J94" t="s">
        <v>203</v>
      </c>
      <c r="K94">
        <v>2</v>
      </c>
      <c r="L94" t="str">
        <f t="shared" si="11"/>
        <v>Standard Order</v>
      </c>
      <c r="M94" t="str" cm="1">
        <f t="array" ref="M94">_xlfn.IFS(K94&gt;=25,"Bulk",K94&gt;=10,"Large",K94&lt;10,"Standard")</f>
        <v>Standard</v>
      </c>
      <c r="N94" s="2">
        <v>24.54</v>
      </c>
      <c r="O94" s="2">
        <f t="shared" si="12"/>
        <v>49.08</v>
      </c>
      <c r="P94" s="3">
        <v>46234</v>
      </c>
      <c r="Q94" s="5"/>
      <c r="R94" s="5" t="str">
        <f t="shared" si="13"/>
        <v>No Discount</v>
      </c>
      <c r="T94" s="4"/>
      <c r="U94" s="7">
        <f>O94*(1-T94)</f>
        <v>49.08</v>
      </c>
      <c r="V94" s="4"/>
    </row>
    <row r="95" spans="1:22" x14ac:dyDescent="0.25">
      <c r="A95">
        <v>100094</v>
      </c>
      <c r="B95" t="s">
        <v>140</v>
      </c>
      <c r="C95" t="str">
        <f t="shared" si="7"/>
        <v>THR</v>
      </c>
      <c r="D95" t="str">
        <f t="shared" si="8"/>
        <v>049</v>
      </c>
      <c r="E95" t="str">
        <f t="shared" si="9"/>
        <v>THR-049</v>
      </c>
      <c r="F95" t="s">
        <v>123</v>
      </c>
      <c r="G95" t="s">
        <v>49</v>
      </c>
      <c r="H95" t="s">
        <v>33</v>
      </c>
      <c r="I95">
        <f t="shared" si="10"/>
        <v>8</v>
      </c>
      <c r="J95" t="s">
        <v>203</v>
      </c>
      <c r="K95">
        <v>17</v>
      </c>
      <c r="L95" t="str">
        <f t="shared" si="11"/>
        <v>Large Order</v>
      </c>
      <c r="M95" t="str" cm="1">
        <f t="array" ref="M95">_xlfn.IFS(K95&gt;=25,"Bulk",K95&gt;=10,"Large",K95&lt;10,"Standard")</f>
        <v>Large</v>
      </c>
      <c r="N95" s="2">
        <v>21.04</v>
      </c>
      <c r="O95" s="2">
        <f t="shared" si="12"/>
        <v>357.68</v>
      </c>
      <c r="P95" s="3">
        <v>46235</v>
      </c>
      <c r="Q95" s="5"/>
      <c r="R95" s="5" t="str">
        <f t="shared" si="13"/>
        <v>No Discount</v>
      </c>
      <c r="T95" s="4"/>
      <c r="U95" s="7">
        <f>O95*(1-T95)</f>
        <v>357.68</v>
      </c>
      <c r="V95" s="4"/>
    </row>
    <row r="96" spans="1:22" x14ac:dyDescent="0.25">
      <c r="A96">
        <v>100095</v>
      </c>
      <c r="B96" t="s">
        <v>79</v>
      </c>
      <c r="C96" t="str">
        <f t="shared" si="7"/>
        <v>THR</v>
      </c>
      <c r="D96" t="str">
        <f t="shared" si="8"/>
        <v>075</v>
      </c>
      <c r="E96" t="str">
        <f t="shared" si="9"/>
        <v>THR-075</v>
      </c>
      <c r="F96" t="s">
        <v>141</v>
      </c>
      <c r="G96" t="s">
        <v>11</v>
      </c>
      <c r="H96" t="s">
        <v>33</v>
      </c>
      <c r="I96">
        <f t="shared" si="10"/>
        <v>8</v>
      </c>
      <c r="J96" t="s">
        <v>203</v>
      </c>
      <c r="K96">
        <v>2</v>
      </c>
      <c r="L96" t="str">
        <f t="shared" si="11"/>
        <v>Standard Order</v>
      </c>
      <c r="M96" t="str" cm="1">
        <f t="array" ref="M96">_xlfn.IFS(K96&gt;=25,"Bulk",K96&gt;=10,"Large",K96&lt;10,"Standard")</f>
        <v>Standard</v>
      </c>
      <c r="N96" s="2">
        <v>25.21</v>
      </c>
      <c r="O96" s="2">
        <f t="shared" si="12"/>
        <v>50.42</v>
      </c>
      <c r="P96" s="3">
        <v>46235</v>
      </c>
      <c r="Q96" s="5"/>
      <c r="R96" s="5" t="str">
        <f t="shared" si="13"/>
        <v>Discount</v>
      </c>
      <c r="S96" t="s">
        <v>68</v>
      </c>
      <c r="T96" s="4">
        <v>0.1</v>
      </c>
      <c r="U96" s="7">
        <f>O96*(1-T96)</f>
        <v>45.378</v>
      </c>
      <c r="V96" s="4"/>
    </row>
    <row r="97" spans="1:22" x14ac:dyDescent="0.25">
      <c r="A97">
        <v>100096</v>
      </c>
      <c r="B97" t="s">
        <v>25</v>
      </c>
      <c r="C97" t="str">
        <f t="shared" si="7"/>
        <v>HOR</v>
      </c>
      <c r="D97" t="str">
        <f t="shared" si="8"/>
        <v>060</v>
      </c>
      <c r="E97" t="str">
        <f t="shared" si="9"/>
        <v>HOR-060</v>
      </c>
      <c r="F97" t="s">
        <v>142</v>
      </c>
      <c r="G97" t="s">
        <v>49</v>
      </c>
      <c r="H97" t="s">
        <v>27</v>
      </c>
      <c r="I97">
        <f t="shared" si="10"/>
        <v>6</v>
      </c>
      <c r="J97" t="s">
        <v>203</v>
      </c>
      <c r="K97">
        <v>8</v>
      </c>
      <c r="L97" t="str">
        <f t="shared" si="11"/>
        <v>Standard Order</v>
      </c>
      <c r="M97" t="str" cm="1">
        <f t="array" ref="M97">_xlfn.IFS(K97&gt;=25,"Bulk",K97&gt;=10,"Large",K97&lt;10,"Standard")</f>
        <v>Standard</v>
      </c>
      <c r="N97" s="2">
        <v>28.38</v>
      </c>
      <c r="O97" s="2">
        <f t="shared" si="12"/>
        <v>227.04</v>
      </c>
      <c r="P97" s="3">
        <v>46236</v>
      </c>
      <c r="Q97" s="5"/>
      <c r="R97" s="5" t="str">
        <f t="shared" si="13"/>
        <v>No Discount</v>
      </c>
      <c r="T97" s="4"/>
      <c r="U97" s="7">
        <f>O97*(1-T97)</f>
        <v>227.04</v>
      </c>
      <c r="V97" s="4"/>
    </row>
    <row r="98" spans="1:22" x14ac:dyDescent="0.25">
      <c r="A98">
        <v>100097</v>
      </c>
      <c r="B98" t="s">
        <v>143</v>
      </c>
      <c r="C98" t="str">
        <f t="shared" si="7"/>
        <v>ROM</v>
      </c>
      <c r="D98" t="str">
        <f t="shared" si="8"/>
        <v>041</v>
      </c>
      <c r="E98" t="str">
        <f t="shared" si="9"/>
        <v>ROM-041</v>
      </c>
      <c r="F98" t="s">
        <v>144</v>
      </c>
      <c r="G98" t="s">
        <v>29</v>
      </c>
      <c r="H98" t="s">
        <v>37</v>
      </c>
      <c r="I98">
        <f t="shared" si="10"/>
        <v>7</v>
      </c>
      <c r="J98" t="s">
        <v>203</v>
      </c>
      <c r="K98">
        <v>11</v>
      </c>
      <c r="L98" t="str">
        <f t="shared" si="11"/>
        <v>Large Order</v>
      </c>
      <c r="M98" t="str" cm="1">
        <f t="array" ref="M98">_xlfn.IFS(K98&gt;=25,"Bulk",K98&gt;=10,"Large",K98&lt;10,"Standard")</f>
        <v>Large</v>
      </c>
      <c r="N98" s="2">
        <v>16.86</v>
      </c>
      <c r="O98" s="2">
        <f t="shared" si="12"/>
        <v>185.45999999999998</v>
      </c>
      <c r="P98" s="3">
        <v>46237</v>
      </c>
      <c r="Q98" s="5"/>
      <c r="R98" s="5" t="str">
        <f t="shared" si="13"/>
        <v>No Discount</v>
      </c>
      <c r="T98" s="4"/>
      <c r="U98" s="7">
        <f>O98*(1-T98)</f>
        <v>185.45999999999998</v>
      </c>
      <c r="V98" s="4"/>
    </row>
    <row r="99" spans="1:22" x14ac:dyDescent="0.25">
      <c r="A99">
        <v>100098</v>
      </c>
      <c r="B99" t="s">
        <v>50</v>
      </c>
      <c r="C99" t="str">
        <f t="shared" si="7"/>
        <v>BIO</v>
      </c>
      <c r="D99" t="str">
        <f t="shared" si="8"/>
        <v>071</v>
      </c>
      <c r="E99" t="str">
        <f t="shared" si="9"/>
        <v>BIO-071</v>
      </c>
      <c r="F99" t="s">
        <v>83</v>
      </c>
      <c r="G99" t="s">
        <v>15</v>
      </c>
      <c r="H99" t="s">
        <v>52</v>
      </c>
      <c r="I99">
        <f t="shared" si="10"/>
        <v>9</v>
      </c>
      <c r="J99" t="s">
        <v>59</v>
      </c>
      <c r="K99">
        <v>9</v>
      </c>
      <c r="L99" t="str">
        <f t="shared" si="11"/>
        <v>Standard Order</v>
      </c>
      <c r="M99" t="str" cm="1">
        <f t="array" ref="M99">_xlfn.IFS(K99&gt;=25,"Bulk",K99&gt;=10,"Large",K99&lt;10,"Standard")</f>
        <v>Standard</v>
      </c>
      <c r="N99" s="2">
        <v>28.46</v>
      </c>
      <c r="O99" s="2">
        <f t="shared" si="12"/>
        <v>256.14</v>
      </c>
      <c r="P99" s="3">
        <v>46237</v>
      </c>
      <c r="Q99" s="5"/>
      <c r="R99" s="5" t="str">
        <f t="shared" si="13"/>
        <v>No Discount</v>
      </c>
      <c r="T99" s="4"/>
      <c r="U99" s="7">
        <f>O99*(1-T99)</f>
        <v>256.14</v>
      </c>
      <c r="V99" s="4"/>
    </row>
    <row r="100" spans="1:22" x14ac:dyDescent="0.25">
      <c r="A100">
        <v>100099</v>
      </c>
      <c r="B100" t="s">
        <v>69</v>
      </c>
      <c r="C100" t="str">
        <f t="shared" si="7"/>
        <v>BIO</v>
      </c>
      <c r="D100" t="str">
        <f t="shared" si="8"/>
        <v>058</v>
      </c>
      <c r="E100" t="str">
        <f t="shared" si="9"/>
        <v>BIO-058</v>
      </c>
      <c r="F100" t="s">
        <v>145</v>
      </c>
      <c r="G100" t="s">
        <v>11</v>
      </c>
      <c r="H100" t="s">
        <v>52</v>
      </c>
      <c r="I100">
        <f t="shared" si="10"/>
        <v>9</v>
      </c>
      <c r="J100" t="s">
        <v>59</v>
      </c>
      <c r="K100">
        <v>1</v>
      </c>
      <c r="L100" t="str">
        <f t="shared" si="11"/>
        <v>Standard Order</v>
      </c>
      <c r="M100" t="str" cm="1">
        <f t="array" ref="M100">_xlfn.IFS(K100&gt;=25,"Bulk",K100&gt;=10,"Large",K100&lt;10,"Standard")</f>
        <v>Standard</v>
      </c>
      <c r="N100" s="2">
        <v>27.28</v>
      </c>
      <c r="O100" s="2">
        <f t="shared" si="12"/>
        <v>27.28</v>
      </c>
      <c r="P100" s="3">
        <v>46238</v>
      </c>
      <c r="Q100" s="5"/>
      <c r="R100" s="5" t="str">
        <f t="shared" si="13"/>
        <v>No Discount</v>
      </c>
      <c r="T100" s="4"/>
      <c r="U100" s="7">
        <f>O100*(1-T100)</f>
        <v>27.28</v>
      </c>
      <c r="V100" s="4"/>
    </row>
    <row r="101" spans="1:22" x14ac:dyDescent="0.25">
      <c r="A101">
        <v>100100</v>
      </c>
      <c r="B101" t="s">
        <v>121</v>
      </c>
      <c r="C101" t="str">
        <f t="shared" si="7"/>
        <v>HOR</v>
      </c>
      <c r="D101" t="str">
        <f t="shared" si="8"/>
        <v>073</v>
      </c>
      <c r="E101" t="str">
        <f t="shared" si="9"/>
        <v>HOR-073</v>
      </c>
      <c r="F101" t="s">
        <v>41</v>
      </c>
      <c r="G101" t="s">
        <v>42</v>
      </c>
      <c r="H101" t="s">
        <v>27</v>
      </c>
      <c r="I101">
        <f t="shared" si="10"/>
        <v>6</v>
      </c>
      <c r="J101" t="s">
        <v>203</v>
      </c>
      <c r="K101">
        <v>2</v>
      </c>
      <c r="L101" t="str">
        <f t="shared" si="11"/>
        <v>Standard Order</v>
      </c>
      <c r="M101" t="str" cm="1">
        <f t="array" ref="M101">_xlfn.IFS(K101&gt;=25,"Bulk",K101&gt;=10,"Large",K101&lt;10,"Standard")</f>
        <v>Standard</v>
      </c>
      <c r="N101" s="2">
        <v>29.47</v>
      </c>
      <c r="O101" s="2">
        <f t="shared" si="12"/>
        <v>58.94</v>
      </c>
      <c r="P101" s="3">
        <v>46239</v>
      </c>
      <c r="Q101" s="5"/>
      <c r="R101" s="5" t="str">
        <f t="shared" si="13"/>
        <v>Discount</v>
      </c>
      <c r="S101" t="s">
        <v>20</v>
      </c>
      <c r="T101" s="4">
        <v>0.05</v>
      </c>
      <c r="U101" s="7">
        <f>O101*(1-T101)</f>
        <v>55.992999999999995</v>
      </c>
      <c r="V101" s="4"/>
    </row>
    <row r="102" spans="1:22" x14ac:dyDescent="0.25">
      <c r="A102">
        <v>100101</v>
      </c>
      <c r="B102" t="s">
        <v>116</v>
      </c>
      <c r="C102" t="str">
        <f t="shared" si="7"/>
        <v>POE</v>
      </c>
      <c r="D102" t="str">
        <f t="shared" si="8"/>
        <v>059</v>
      </c>
      <c r="E102" t="str">
        <f t="shared" si="9"/>
        <v>POE-059</v>
      </c>
      <c r="F102" t="s">
        <v>90</v>
      </c>
      <c r="G102" t="s">
        <v>29</v>
      </c>
      <c r="H102" t="s">
        <v>74</v>
      </c>
      <c r="I102">
        <f t="shared" si="10"/>
        <v>6</v>
      </c>
      <c r="J102" t="s">
        <v>59</v>
      </c>
      <c r="K102">
        <v>2</v>
      </c>
      <c r="L102" t="str">
        <f t="shared" si="11"/>
        <v>Standard Order</v>
      </c>
      <c r="M102" t="str" cm="1">
        <f t="array" ref="M102">_xlfn.IFS(K102&gt;=25,"Bulk",K102&gt;=10,"Large",K102&lt;10,"Standard")</f>
        <v>Standard</v>
      </c>
      <c r="N102" s="2">
        <v>33.630000000000003</v>
      </c>
      <c r="O102" s="2">
        <f t="shared" si="12"/>
        <v>67.260000000000005</v>
      </c>
      <c r="P102" s="3">
        <v>46239</v>
      </c>
      <c r="Q102" s="5"/>
      <c r="R102" s="5" t="str">
        <f t="shared" si="13"/>
        <v>No Discount</v>
      </c>
      <c r="T102" s="4"/>
      <c r="U102" s="7">
        <f>O102*(1-T102)</f>
        <v>67.260000000000005</v>
      </c>
      <c r="V102" s="4"/>
    </row>
    <row r="103" spans="1:22" x14ac:dyDescent="0.25">
      <c r="A103">
        <v>100102</v>
      </c>
      <c r="B103" t="s">
        <v>119</v>
      </c>
      <c r="C103" t="str">
        <f t="shared" si="7"/>
        <v>POE</v>
      </c>
      <c r="D103" t="str">
        <f t="shared" si="8"/>
        <v>046</v>
      </c>
      <c r="E103" t="str">
        <f t="shared" si="9"/>
        <v>POE-046</v>
      </c>
      <c r="F103" t="s">
        <v>64</v>
      </c>
      <c r="G103" t="s">
        <v>42</v>
      </c>
      <c r="H103" t="s">
        <v>74</v>
      </c>
      <c r="I103">
        <f t="shared" si="10"/>
        <v>6</v>
      </c>
      <c r="J103" t="s">
        <v>59</v>
      </c>
      <c r="K103">
        <v>1</v>
      </c>
      <c r="L103" t="str">
        <f t="shared" si="11"/>
        <v>Standard Order</v>
      </c>
      <c r="M103" t="str" cm="1">
        <f t="array" ref="M103">_xlfn.IFS(K103&gt;=25,"Bulk",K103&gt;=10,"Large",K103&lt;10,"Standard")</f>
        <v>Standard</v>
      </c>
      <c r="N103" s="2">
        <v>25.73</v>
      </c>
      <c r="O103" s="2">
        <f t="shared" si="12"/>
        <v>25.73</v>
      </c>
      <c r="P103" s="3">
        <v>46240</v>
      </c>
      <c r="Q103" s="5"/>
      <c r="R103" s="5" t="str">
        <f t="shared" si="13"/>
        <v>Discount</v>
      </c>
      <c r="S103" t="s">
        <v>20</v>
      </c>
      <c r="T103" s="4">
        <v>0.05</v>
      </c>
      <c r="U103" s="7">
        <f>O103*(1-T103)</f>
        <v>24.4435</v>
      </c>
      <c r="V103" s="4"/>
    </row>
    <row r="104" spans="1:22" x14ac:dyDescent="0.25">
      <c r="A104">
        <v>100103</v>
      </c>
      <c r="B104" t="s">
        <v>50</v>
      </c>
      <c r="C104" t="str">
        <f t="shared" si="7"/>
        <v>BIO</v>
      </c>
      <c r="D104" t="str">
        <f t="shared" si="8"/>
        <v>071</v>
      </c>
      <c r="E104" t="str">
        <f t="shared" si="9"/>
        <v>BIO-071</v>
      </c>
      <c r="F104" t="s">
        <v>146</v>
      </c>
      <c r="G104" t="s">
        <v>49</v>
      </c>
      <c r="H104" t="s">
        <v>52</v>
      </c>
      <c r="I104">
        <f t="shared" si="10"/>
        <v>9</v>
      </c>
      <c r="J104" t="s">
        <v>59</v>
      </c>
      <c r="K104">
        <v>9</v>
      </c>
      <c r="L104" t="str">
        <f t="shared" si="11"/>
        <v>Standard Order</v>
      </c>
      <c r="M104" t="str" cm="1">
        <f t="array" ref="M104">_xlfn.IFS(K104&gt;=25,"Bulk",K104&gt;=10,"Large",K104&lt;10,"Standard")</f>
        <v>Standard</v>
      </c>
      <c r="N104" s="2">
        <v>24.65</v>
      </c>
      <c r="O104" s="2">
        <f t="shared" si="12"/>
        <v>221.85</v>
      </c>
      <c r="P104" s="3">
        <v>46241</v>
      </c>
      <c r="Q104" s="5"/>
      <c r="R104" s="5" t="str">
        <f t="shared" si="13"/>
        <v>No Discount</v>
      </c>
      <c r="T104" s="4"/>
      <c r="U104" s="7">
        <f>O104*(1-T104)</f>
        <v>221.85</v>
      </c>
      <c r="V104" s="4"/>
    </row>
    <row r="105" spans="1:22" x14ac:dyDescent="0.25">
      <c r="A105">
        <v>100104</v>
      </c>
      <c r="B105" t="s">
        <v>100</v>
      </c>
      <c r="C105" t="str">
        <f t="shared" si="7"/>
        <v>YAD</v>
      </c>
      <c r="D105" t="str">
        <f t="shared" si="8"/>
        <v>037</v>
      </c>
      <c r="E105" t="str">
        <f t="shared" si="9"/>
        <v>YAD-037</v>
      </c>
      <c r="F105" t="s">
        <v>147</v>
      </c>
      <c r="G105" t="s">
        <v>11</v>
      </c>
      <c r="H105" t="s">
        <v>55</v>
      </c>
      <c r="I105">
        <f t="shared" si="10"/>
        <v>11</v>
      </c>
      <c r="J105" t="s">
        <v>203</v>
      </c>
      <c r="K105">
        <v>1</v>
      </c>
      <c r="L105" t="str">
        <f t="shared" si="11"/>
        <v>Standard Order</v>
      </c>
      <c r="M105" t="str" cm="1">
        <f t="array" ref="M105">_xlfn.IFS(K105&gt;=25,"Bulk",K105&gt;=10,"Large",K105&lt;10,"Standard")</f>
        <v>Standard</v>
      </c>
      <c r="N105" s="2">
        <v>26.76</v>
      </c>
      <c r="O105" s="2">
        <f t="shared" si="12"/>
        <v>26.76</v>
      </c>
      <c r="P105" s="3">
        <v>46241</v>
      </c>
      <c r="Q105" s="5"/>
      <c r="R105" s="5" t="str">
        <f t="shared" si="13"/>
        <v>Discount</v>
      </c>
      <c r="S105" t="s">
        <v>17</v>
      </c>
      <c r="T105" s="4">
        <v>0.2</v>
      </c>
      <c r="U105" s="7">
        <f>O105*(1-T105)</f>
        <v>21.408000000000001</v>
      </c>
      <c r="V105" s="4"/>
    </row>
    <row r="106" spans="1:22" x14ac:dyDescent="0.25">
      <c r="A106">
        <v>100105</v>
      </c>
      <c r="B106" t="s">
        <v>148</v>
      </c>
      <c r="C106" t="str">
        <f t="shared" si="7"/>
        <v>SLF</v>
      </c>
      <c r="D106" t="str">
        <f t="shared" si="8"/>
        <v>051</v>
      </c>
      <c r="E106" t="str">
        <f t="shared" si="9"/>
        <v>SLF-051</v>
      </c>
      <c r="F106" t="s">
        <v>149</v>
      </c>
      <c r="G106" t="s">
        <v>42</v>
      </c>
      <c r="H106" t="s">
        <v>61</v>
      </c>
      <c r="I106">
        <f t="shared" si="10"/>
        <v>9</v>
      </c>
      <c r="J106" t="s">
        <v>59</v>
      </c>
      <c r="K106">
        <v>1</v>
      </c>
      <c r="L106" t="str">
        <f t="shared" si="11"/>
        <v>Standard Order</v>
      </c>
      <c r="M106" t="str" cm="1">
        <f t="array" ref="M106">_xlfn.IFS(K106&gt;=25,"Bulk",K106&gt;=10,"Large",K106&lt;10,"Standard")</f>
        <v>Standard</v>
      </c>
      <c r="N106" s="2">
        <v>11.99</v>
      </c>
      <c r="O106" s="2">
        <f t="shared" si="12"/>
        <v>11.99</v>
      </c>
      <c r="P106" s="3">
        <v>46242</v>
      </c>
      <c r="Q106" s="5"/>
      <c r="R106" s="5" t="str">
        <f t="shared" si="13"/>
        <v>Discount</v>
      </c>
      <c r="S106" t="s">
        <v>20</v>
      </c>
      <c r="T106" s="4">
        <v>0.05</v>
      </c>
      <c r="U106" s="7">
        <f>O106*(1-T106)</f>
        <v>11.390499999999999</v>
      </c>
      <c r="V106" s="4"/>
    </row>
    <row r="107" spans="1:22" x14ac:dyDescent="0.25">
      <c r="A107">
        <v>100106</v>
      </c>
      <c r="B107" t="s">
        <v>69</v>
      </c>
      <c r="C107" t="str">
        <f t="shared" si="7"/>
        <v>BIO</v>
      </c>
      <c r="D107" t="str">
        <f t="shared" si="8"/>
        <v>058</v>
      </c>
      <c r="E107" t="str">
        <f t="shared" si="9"/>
        <v>BIO-058</v>
      </c>
      <c r="F107" t="s">
        <v>146</v>
      </c>
      <c r="G107" t="s">
        <v>49</v>
      </c>
      <c r="H107" t="s">
        <v>52</v>
      </c>
      <c r="I107">
        <f t="shared" si="10"/>
        <v>9</v>
      </c>
      <c r="J107" t="s">
        <v>59</v>
      </c>
      <c r="K107">
        <v>25</v>
      </c>
      <c r="L107" t="str">
        <f t="shared" si="11"/>
        <v>Large Order</v>
      </c>
      <c r="M107" t="str" cm="1">
        <f t="array" ref="M107">_xlfn.IFS(K107&gt;=25,"Bulk",K107&gt;=10,"Large",K107&lt;10,"Standard")</f>
        <v>Bulk</v>
      </c>
      <c r="N107" s="2">
        <v>9.2100000000000009</v>
      </c>
      <c r="O107" s="2">
        <f t="shared" si="12"/>
        <v>230.25000000000003</v>
      </c>
      <c r="P107" s="3">
        <v>46243</v>
      </c>
      <c r="Q107" s="5"/>
      <c r="R107" s="5" t="str">
        <f t="shared" si="13"/>
        <v>No Discount</v>
      </c>
      <c r="T107" s="4"/>
      <c r="U107" s="7">
        <f>O107*(1-T107)</f>
        <v>230.25000000000003</v>
      </c>
      <c r="V107" s="4"/>
    </row>
    <row r="108" spans="1:22" x14ac:dyDescent="0.25">
      <c r="A108">
        <v>100107</v>
      </c>
      <c r="B108" t="s">
        <v>121</v>
      </c>
      <c r="C108" t="str">
        <f t="shared" si="7"/>
        <v>HOR</v>
      </c>
      <c r="D108" t="str">
        <f t="shared" si="8"/>
        <v>073</v>
      </c>
      <c r="E108" t="str">
        <f t="shared" si="9"/>
        <v>HOR-073</v>
      </c>
      <c r="F108" t="s">
        <v>92</v>
      </c>
      <c r="G108" t="s">
        <v>29</v>
      </c>
      <c r="H108" t="s">
        <v>27</v>
      </c>
      <c r="I108">
        <f t="shared" si="10"/>
        <v>6</v>
      </c>
      <c r="J108" t="s">
        <v>203</v>
      </c>
      <c r="K108">
        <v>1</v>
      </c>
      <c r="L108" t="str">
        <f t="shared" si="11"/>
        <v>Standard Order</v>
      </c>
      <c r="M108" t="str" cm="1">
        <f t="array" ref="M108">_xlfn.IFS(K108&gt;=25,"Bulk",K108&gt;=10,"Large",K108&lt;10,"Standard")</f>
        <v>Standard</v>
      </c>
      <c r="N108" s="2">
        <v>16.14</v>
      </c>
      <c r="O108" s="2">
        <f t="shared" si="12"/>
        <v>16.14</v>
      </c>
      <c r="P108" s="3">
        <v>46243</v>
      </c>
      <c r="Q108" s="5"/>
      <c r="R108" s="5" t="str">
        <f t="shared" si="13"/>
        <v>No Discount</v>
      </c>
      <c r="T108" s="4"/>
      <c r="U108" s="7">
        <f>O108*(1-T108)</f>
        <v>16.14</v>
      </c>
      <c r="V108" s="4"/>
    </row>
    <row r="109" spans="1:22" x14ac:dyDescent="0.25">
      <c r="A109">
        <v>100108</v>
      </c>
      <c r="B109" t="s">
        <v>126</v>
      </c>
      <c r="C109" t="str">
        <f t="shared" si="7"/>
        <v>HOR</v>
      </c>
      <c r="D109" t="str">
        <f t="shared" si="8"/>
        <v>047</v>
      </c>
      <c r="E109" t="str">
        <f t="shared" si="9"/>
        <v>HOR-047</v>
      </c>
      <c r="F109" t="s">
        <v>150</v>
      </c>
      <c r="G109" t="s">
        <v>11</v>
      </c>
      <c r="H109" t="s">
        <v>27</v>
      </c>
      <c r="I109">
        <f t="shared" si="10"/>
        <v>6</v>
      </c>
      <c r="J109" t="s">
        <v>203</v>
      </c>
      <c r="K109">
        <v>2</v>
      </c>
      <c r="L109" t="str">
        <f t="shared" si="11"/>
        <v>Standard Order</v>
      </c>
      <c r="M109" t="str" cm="1">
        <f t="array" ref="M109">_xlfn.IFS(K109&gt;=25,"Bulk",K109&gt;=10,"Large",K109&lt;10,"Standard")</f>
        <v>Standard</v>
      </c>
      <c r="N109" s="2">
        <v>18.510000000000002</v>
      </c>
      <c r="O109" s="2">
        <f t="shared" si="12"/>
        <v>37.020000000000003</v>
      </c>
      <c r="P109" s="3">
        <v>46244</v>
      </c>
      <c r="Q109" s="5"/>
      <c r="R109" s="5" t="str">
        <f t="shared" si="13"/>
        <v>No Discount</v>
      </c>
      <c r="T109" s="4"/>
      <c r="U109" s="7">
        <f>O109*(1-T109)</f>
        <v>37.020000000000003</v>
      </c>
      <c r="V109" s="4"/>
    </row>
    <row r="110" spans="1:22" x14ac:dyDescent="0.25">
      <c r="A110">
        <v>100109</v>
      </c>
      <c r="B110" t="s">
        <v>57</v>
      </c>
      <c r="C110" t="str">
        <f t="shared" si="7"/>
        <v>NFC</v>
      </c>
      <c r="D110" t="str">
        <f t="shared" si="8"/>
        <v>070</v>
      </c>
      <c r="E110" t="str">
        <f t="shared" si="9"/>
        <v>NFC-070</v>
      </c>
      <c r="F110" t="s">
        <v>83</v>
      </c>
      <c r="G110" t="s">
        <v>15</v>
      </c>
      <c r="H110" t="s">
        <v>59</v>
      </c>
      <c r="I110">
        <f t="shared" si="10"/>
        <v>10</v>
      </c>
      <c r="J110" t="s">
        <v>59</v>
      </c>
      <c r="K110">
        <v>6</v>
      </c>
      <c r="L110" t="str">
        <f t="shared" si="11"/>
        <v>Standard Order</v>
      </c>
      <c r="M110" t="str" cm="1">
        <f t="array" ref="M110">_xlfn.IFS(K110&gt;=25,"Bulk",K110&gt;=10,"Large",K110&lt;10,"Standard")</f>
        <v>Standard</v>
      </c>
      <c r="N110" s="2">
        <v>9.07</v>
      </c>
      <c r="O110" s="2">
        <f t="shared" si="12"/>
        <v>54.42</v>
      </c>
      <c r="P110" s="3">
        <v>46245</v>
      </c>
      <c r="Q110" s="5"/>
      <c r="R110" s="5" t="str">
        <f t="shared" si="13"/>
        <v>No Discount</v>
      </c>
      <c r="T110" s="4"/>
      <c r="U110" s="7">
        <f>O110*(1-T110)</f>
        <v>54.42</v>
      </c>
      <c r="V110" s="4"/>
    </row>
    <row r="111" spans="1:22" x14ac:dyDescent="0.25">
      <c r="A111">
        <v>100110</v>
      </c>
      <c r="B111" t="s">
        <v>45</v>
      </c>
      <c r="C111" t="str">
        <f t="shared" si="7"/>
        <v>SCI</v>
      </c>
      <c r="D111" t="str">
        <f t="shared" si="8"/>
        <v>069</v>
      </c>
      <c r="E111" t="str">
        <f t="shared" si="9"/>
        <v>SCI-069</v>
      </c>
      <c r="F111" t="s">
        <v>101</v>
      </c>
      <c r="G111" t="s">
        <v>29</v>
      </c>
      <c r="H111" t="s">
        <v>23</v>
      </c>
      <c r="I111">
        <f t="shared" si="10"/>
        <v>15</v>
      </c>
      <c r="J111" t="s">
        <v>203</v>
      </c>
      <c r="K111">
        <v>2</v>
      </c>
      <c r="L111" t="str">
        <f t="shared" si="11"/>
        <v>Standard Order</v>
      </c>
      <c r="M111" t="str" cm="1">
        <f t="array" ref="M111">_xlfn.IFS(K111&gt;=25,"Bulk",K111&gt;=10,"Large",K111&lt;10,"Standard")</f>
        <v>Standard</v>
      </c>
      <c r="N111" s="2">
        <v>10.4</v>
      </c>
      <c r="O111" s="2">
        <f t="shared" si="12"/>
        <v>20.8</v>
      </c>
      <c r="P111" s="3">
        <v>46245</v>
      </c>
      <c r="Q111" s="5"/>
      <c r="R111" s="5" t="str">
        <f t="shared" si="13"/>
        <v>No Discount</v>
      </c>
      <c r="T111" s="4"/>
      <c r="U111" s="7">
        <f>O111*(1-T111)</f>
        <v>20.8</v>
      </c>
      <c r="V111" s="4"/>
    </row>
    <row r="112" spans="1:22" x14ac:dyDescent="0.25">
      <c r="A112">
        <v>100111</v>
      </c>
      <c r="B112" t="s">
        <v>119</v>
      </c>
      <c r="C112" t="str">
        <f t="shared" si="7"/>
        <v>POE</v>
      </c>
      <c r="D112" t="str">
        <f t="shared" si="8"/>
        <v>046</v>
      </c>
      <c r="E112" t="str">
        <f t="shared" si="9"/>
        <v>POE-046</v>
      </c>
      <c r="F112" t="s">
        <v>151</v>
      </c>
      <c r="G112" t="s">
        <v>42</v>
      </c>
      <c r="H112" t="s">
        <v>74</v>
      </c>
      <c r="I112">
        <f t="shared" si="10"/>
        <v>6</v>
      </c>
      <c r="J112" t="s">
        <v>59</v>
      </c>
      <c r="K112">
        <v>2</v>
      </c>
      <c r="L112" t="str">
        <f t="shared" si="11"/>
        <v>Standard Order</v>
      </c>
      <c r="M112" t="str" cm="1">
        <f t="array" ref="M112">_xlfn.IFS(K112&gt;=25,"Bulk",K112&gt;=10,"Large",K112&lt;10,"Standard")</f>
        <v>Standard</v>
      </c>
      <c r="N112" s="2">
        <v>31.91</v>
      </c>
      <c r="O112" s="2">
        <f t="shared" si="12"/>
        <v>63.82</v>
      </c>
      <c r="P112" s="3">
        <v>46246</v>
      </c>
      <c r="Q112" s="5"/>
      <c r="R112" s="5" t="str">
        <f t="shared" si="13"/>
        <v>Discount</v>
      </c>
      <c r="S112" t="s">
        <v>20</v>
      </c>
      <c r="T112" s="4">
        <v>0.05</v>
      </c>
      <c r="U112" s="7">
        <f>O112*(1-T112)</f>
        <v>60.628999999999998</v>
      </c>
      <c r="V112" s="4"/>
    </row>
    <row r="113" spans="1:22" x14ac:dyDescent="0.25">
      <c r="A113">
        <v>100112</v>
      </c>
      <c r="B113" t="s">
        <v>79</v>
      </c>
      <c r="C113" t="str">
        <f t="shared" si="7"/>
        <v>THR</v>
      </c>
      <c r="D113" t="str">
        <f t="shared" si="8"/>
        <v>075</v>
      </c>
      <c r="E113" t="str">
        <f t="shared" si="9"/>
        <v>THR-075</v>
      </c>
      <c r="F113" t="s">
        <v>111</v>
      </c>
      <c r="G113" t="s">
        <v>15</v>
      </c>
      <c r="H113" t="s">
        <v>33</v>
      </c>
      <c r="I113">
        <f t="shared" si="10"/>
        <v>8</v>
      </c>
      <c r="J113" t="s">
        <v>203</v>
      </c>
      <c r="K113">
        <v>9</v>
      </c>
      <c r="L113" t="str">
        <f t="shared" si="11"/>
        <v>Standard Order</v>
      </c>
      <c r="M113" t="str" cm="1">
        <f t="array" ref="M113">_xlfn.IFS(K113&gt;=25,"Bulk",K113&gt;=10,"Large",K113&lt;10,"Standard")</f>
        <v>Standard</v>
      </c>
      <c r="N113" s="2">
        <v>16.920000000000002</v>
      </c>
      <c r="O113" s="2">
        <f t="shared" si="12"/>
        <v>152.28000000000003</v>
      </c>
      <c r="P113" s="3">
        <v>46247</v>
      </c>
      <c r="Q113" s="5"/>
      <c r="R113" s="5" t="str">
        <f t="shared" si="13"/>
        <v>No Discount</v>
      </c>
      <c r="T113" s="4"/>
      <c r="U113" s="7">
        <f>O113*(1-T113)</f>
        <v>152.28000000000003</v>
      </c>
      <c r="V113" s="4"/>
    </row>
    <row r="114" spans="1:22" x14ac:dyDescent="0.25">
      <c r="A114">
        <v>100113</v>
      </c>
      <c r="B114" t="s">
        <v>13</v>
      </c>
      <c r="C114" t="str">
        <f t="shared" si="7"/>
        <v>HIS</v>
      </c>
      <c r="D114" t="str">
        <f t="shared" si="8"/>
        <v>074</v>
      </c>
      <c r="E114" t="str">
        <f t="shared" si="9"/>
        <v>HIS-074</v>
      </c>
      <c r="F114" t="s">
        <v>26</v>
      </c>
      <c r="G114" t="s">
        <v>29</v>
      </c>
      <c r="H114" t="s">
        <v>16</v>
      </c>
      <c r="I114">
        <f t="shared" si="10"/>
        <v>18</v>
      </c>
      <c r="J114" t="s">
        <v>203</v>
      </c>
      <c r="K114">
        <v>2</v>
      </c>
      <c r="L114" t="str">
        <f t="shared" si="11"/>
        <v>Standard Order</v>
      </c>
      <c r="M114" t="str" cm="1">
        <f t="array" ref="M114">_xlfn.IFS(K114&gt;=25,"Bulk",K114&gt;=10,"Large",K114&lt;10,"Standard")</f>
        <v>Standard</v>
      </c>
      <c r="N114" s="2">
        <v>14.57</v>
      </c>
      <c r="O114" s="2">
        <f t="shared" si="12"/>
        <v>29.14</v>
      </c>
      <c r="P114" s="3">
        <v>46247</v>
      </c>
      <c r="Q114" s="5"/>
      <c r="R114" s="5" t="str">
        <f t="shared" si="13"/>
        <v>Discount</v>
      </c>
      <c r="S114" t="s">
        <v>68</v>
      </c>
      <c r="T114" s="4">
        <v>0.1</v>
      </c>
      <c r="U114" s="7">
        <f>O114*(1-T114)</f>
        <v>26.226000000000003</v>
      </c>
      <c r="V114" s="4"/>
    </row>
    <row r="115" spans="1:22" x14ac:dyDescent="0.25">
      <c r="A115">
        <v>100114</v>
      </c>
      <c r="B115" t="s">
        <v>116</v>
      </c>
      <c r="C115" t="str">
        <f t="shared" si="7"/>
        <v>POE</v>
      </c>
      <c r="D115" t="str">
        <f t="shared" si="8"/>
        <v>059</v>
      </c>
      <c r="E115" t="str">
        <f t="shared" si="9"/>
        <v>POE-059</v>
      </c>
      <c r="F115" t="s">
        <v>152</v>
      </c>
      <c r="G115" t="s">
        <v>42</v>
      </c>
      <c r="H115" t="s">
        <v>74</v>
      </c>
      <c r="I115">
        <f t="shared" si="10"/>
        <v>6</v>
      </c>
      <c r="J115" t="s">
        <v>59</v>
      </c>
      <c r="K115">
        <v>1</v>
      </c>
      <c r="L115" t="str">
        <f t="shared" si="11"/>
        <v>Standard Order</v>
      </c>
      <c r="M115" t="str" cm="1">
        <f t="array" ref="M115">_xlfn.IFS(K115&gt;=25,"Bulk",K115&gt;=10,"Large",K115&lt;10,"Standard")</f>
        <v>Standard</v>
      </c>
      <c r="N115" s="2">
        <v>30.32</v>
      </c>
      <c r="O115" s="2">
        <f t="shared" si="12"/>
        <v>30.32</v>
      </c>
      <c r="P115" s="3">
        <v>46248</v>
      </c>
      <c r="Q115" s="5"/>
      <c r="R115" s="5" t="str">
        <f t="shared" si="13"/>
        <v>Discount</v>
      </c>
      <c r="S115" t="s">
        <v>20</v>
      </c>
      <c r="T115" s="4">
        <v>0.05</v>
      </c>
      <c r="U115" s="7">
        <f>O115*(1-T115)</f>
        <v>28.803999999999998</v>
      </c>
      <c r="V115" s="4"/>
    </row>
    <row r="116" spans="1:22" x14ac:dyDescent="0.25">
      <c r="A116">
        <v>100115</v>
      </c>
      <c r="B116" t="s">
        <v>116</v>
      </c>
      <c r="C116" t="str">
        <f t="shared" si="7"/>
        <v>POE</v>
      </c>
      <c r="D116" t="str">
        <f t="shared" si="8"/>
        <v>059</v>
      </c>
      <c r="E116" t="str">
        <f t="shared" si="9"/>
        <v>POE-059</v>
      </c>
      <c r="F116" t="s">
        <v>120</v>
      </c>
      <c r="G116" t="s">
        <v>42</v>
      </c>
      <c r="H116" t="s">
        <v>74</v>
      </c>
      <c r="I116">
        <f t="shared" si="10"/>
        <v>6</v>
      </c>
      <c r="J116" t="s">
        <v>59</v>
      </c>
      <c r="K116">
        <v>3</v>
      </c>
      <c r="L116" t="str">
        <f t="shared" si="11"/>
        <v>Standard Order</v>
      </c>
      <c r="M116" t="str" cm="1">
        <f t="array" ref="M116">_xlfn.IFS(K116&gt;=25,"Bulk",K116&gt;=10,"Large",K116&lt;10,"Standard")</f>
        <v>Standard</v>
      </c>
      <c r="N116" s="2">
        <v>26.19</v>
      </c>
      <c r="O116" s="2">
        <f t="shared" si="12"/>
        <v>78.570000000000007</v>
      </c>
      <c r="P116" s="3">
        <v>46248</v>
      </c>
      <c r="Q116" s="5"/>
      <c r="R116" s="5" t="str">
        <f t="shared" si="13"/>
        <v>Discount</v>
      </c>
      <c r="S116" t="s">
        <v>20</v>
      </c>
      <c r="T116" s="4">
        <v>0.05</v>
      </c>
      <c r="U116" s="7">
        <f>O116*(1-T116)</f>
        <v>74.641500000000008</v>
      </c>
      <c r="V116" s="4"/>
    </row>
    <row r="117" spans="1:22" x14ac:dyDescent="0.25">
      <c r="A117">
        <v>100116</v>
      </c>
      <c r="B117" t="s">
        <v>116</v>
      </c>
      <c r="C117" t="str">
        <f t="shared" si="7"/>
        <v>POE</v>
      </c>
      <c r="D117" t="str">
        <f t="shared" si="8"/>
        <v>059</v>
      </c>
      <c r="E117" t="str">
        <f t="shared" si="9"/>
        <v>POE-059</v>
      </c>
      <c r="F117" t="s">
        <v>146</v>
      </c>
      <c r="G117" t="s">
        <v>49</v>
      </c>
      <c r="H117" t="s">
        <v>74</v>
      </c>
      <c r="I117">
        <f t="shared" si="10"/>
        <v>6</v>
      </c>
      <c r="J117" t="s">
        <v>59</v>
      </c>
      <c r="K117">
        <v>13</v>
      </c>
      <c r="L117" t="str">
        <f t="shared" si="11"/>
        <v>Large Order</v>
      </c>
      <c r="M117" t="str" cm="1">
        <f t="array" ref="M117">_xlfn.IFS(K117&gt;=25,"Bulk",K117&gt;=10,"Large",K117&lt;10,"Standard")</f>
        <v>Large</v>
      </c>
      <c r="N117" s="2">
        <v>26.47</v>
      </c>
      <c r="O117" s="2">
        <f t="shared" si="12"/>
        <v>344.11</v>
      </c>
      <c r="P117" s="3">
        <v>46249</v>
      </c>
      <c r="Q117" s="5"/>
      <c r="R117" s="5" t="str">
        <f t="shared" si="13"/>
        <v>Discount</v>
      </c>
      <c r="S117" t="s">
        <v>17</v>
      </c>
      <c r="T117" s="4">
        <v>0.2</v>
      </c>
      <c r="U117" s="7">
        <f>O117*(1-T117)</f>
        <v>275.28800000000001</v>
      </c>
      <c r="V117" s="4"/>
    </row>
    <row r="118" spans="1:22" x14ac:dyDescent="0.25">
      <c r="A118">
        <v>100117</v>
      </c>
      <c r="B118" t="s">
        <v>57</v>
      </c>
      <c r="C118" t="str">
        <f t="shared" si="7"/>
        <v>NFC</v>
      </c>
      <c r="D118" t="str">
        <f t="shared" si="8"/>
        <v>070</v>
      </c>
      <c r="E118" t="str">
        <f t="shared" si="9"/>
        <v>NFC-070</v>
      </c>
      <c r="F118" t="s">
        <v>105</v>
      </c>
      <c r="G118" t="s">
        <v>42</v>
      </c>
      <c r="H118" t="s">
        <v>59</v>
      </c>
      <c r="I118">
        <f t="shared" si="10"/>
        <v>10</v>
      </c>
      <c r="J118" t="s">
        <v>59</v>
      </c>
      <c r="K118">
        <v>1</v>
      </c>
      <c r="L118" t="str">
        <f t="shared" si="11"/>
        <v>Standard Order</v>
      </c>
      <c r="M118" t="str" cm="1">
        <f t="array" ref="M118">_xlfn.IFS(K118&gt;=25,"Bulk",K118&gt;=10,"Large",K118&lt;10,"Standard")</f>
        <v>Standard</v>
      </c>
      <c r="N118" s="2">
        <v>14.46</v>
      </c>
      <c r="O118" s="2">
        <f t="shared" si="12"/>
        <v>14.46</v>
      </c>
      <c r="P118" s="3">
        <v>46250</v>
      </c>
      <c r="Q118" s="5"/>
      <c r="R118" s="5" t="str">
        <f t="shared" si="13"/>
        <v>Discount</v>
      </c>
      <c r="S118" t="s">
        <v>20</v>
      </c>
      <c r="T118" s="4">
        <v>0.05</v>
      </c>
      <c r="U118" s="7">
        <f>O118*(1-T118)</f>
        <v>13.737</v>
      </c>
      <c r="V118" s="4"/>
    </row>
    <row r="119" spans="1:22" x14ac:dyDescent="0.25">
      <c r="A119">
        <v>100118</v>
      </c>
      <c r="B119" t="s">
        <v>72</v>
      </c>
      <c r="C119" t="str">
        <f t="shared" si="7"/>
        <v>POE</v>
      </c>
      <c r="D119" t="str">
        <f t="shared" si="8"/>
        <v>072</v>
      </c>
      <c r="E119" t="str">
        <f t="shared" si="9"/>
        <v>POE-072</v>
      </c>
      <c r="F119" t="s">
        <v>111</v>
      </c>
      <c r="G119" t="s">
        <v>15</v>
      </c>
      <c r="H119" t="s">
        <v>74</v>
      </c>
      <c r="I119">
        <f t="shared" si="10"/>
        <v>6</v>
      </c>
      <c r="J119" t="s">
        <v>59</v>
      </c>
      <c r="K119">
        <v>11</v>
      </c>
      <c r="L119" t="str">
        <f t="shared" si="11"/>
        <v>Large Order</v>
      </c>
      <c r="M119" t="str" cm="1">
        <f t="array" ref="M119">_xlfn.IFS(K119&gt;=25,"Bulk",K119&gt;=10,"Large",K119&lt;10,"Standard")</f>
        <v>Large</v>
      </c>
      <c r="N119" s="2">
        <v>12.24</v>
      </c>
      <c r="O119" s="2">
        <f t="shared" si="12"/>
        <v>134.64000000000001</v>
      </c>
      <c r="P119" s="3">
        <v>46250</v>
      </c>
      <c r="Q119" s="5"/>
      <c r="R119" s="5" t="str">
        <f t="shared" si="13"/>
        <v>No Discount</v>
      </c>
      <c r="T119" s="4"/>
      <c r="U119" s="7">
        <f>O119*(1-T119)</f>
        <v>134.64000000000001</v>
      </c>
      <c r="V119" s="4"/>
    </row>
    <row r="120" spans="1:22" x14ac:dyDescent="0.25">
      <c r="A120">
        <v>100119</v>
      </c>
      <c r="B120" t="s">
        <v>50</v>
      </c>
      <c r="C120" t="str">
        <f t="shared" si="7"/>
        <v>BIO</v>
      </c>
      <c r="D120" t="str">
        <f t="shared" si="8"/>
        <v>071</v>
      </c>
      <c r="E120" t="str">
        <f t="shared" si="9"/>
        <v>BIO-071</v>
      </c>
      <c r="F120" t="s">
        <v>67</v>
      </c>
      <c r="G120" t="s">
        <v>49</v>
      </c>
      <c r="H120" t="s">
        <v>52</v>
      </c>
      <c r="I120">
        <f t="shared" si="10"/>
        <v>9</v>
      </c>
      <c r="J120" t="s">
        <v>59</v>
      </c>
      <c r="K120">
        <v>14</v>
      </c>
      <c r="L120" t="str">
        <f t="shared" si="11"/>
        <v>Large Order</v>
      </c>
      <c r="M120" t="str" cm="1">
        <f t="array" ref="M120">_xlfn.IFS(K120&gt;=25,"Bulk",K120&gt;=10,"Large",K120&lt;10,"Standard")</f>
        <v>Large</v>
      </c>
      <c r="N120" s="2">
        <v>21.32</v>
      </c>
      <c r="O120" s="2">
        <f t="shared" si="12"/>
        <v>298.48</v>
      </c>
      <c r="P120" s="3">
        <v>46251</v>
      </c>
      <c r="Q120" s="5"/>
      <c r="R120" s="5" t="str">
        <f t="shared" si="13"/>
        <v>No Discount</v>
      </c>
      <c r="T120" s="4"/>
      <c r="U120" s="7">
        <f>O120*(1-T120)</f>
        <v>298.48</v>
      </c>
      <c r="V120" s="4"/>
    </row>
    <row r="121" spans="1:22" x14ac:dyDescent="0.25">
      <c r="A121">
        <v>100120</v>
      </c>
      <c r="B121" t="s">
        <v>128</v>
      </c>
      <c r="C121" t="str">
        <f t="shared" si="7"/>
        <v>HIS</v>
      </c>
      <c r="D121" t="str">
        <f t="shared" si="8"/>
        <v>048</v>
      </c>
      <c r="E121" t="str">
        <f t="shared" si="9"/>
        <v>HIS-048</v>
      </c>
      <c r="F121" t="s">
        <v>70</v>
      </c>
      <c r="G121" t="s">
        <v>49</v>
      </c>
      <c r="H121" t="s">
        <v>16</v>
      </c>
      <c r="I121">
        <f t="shared" si="10"/>
        <v>18</v>
      </c>
      <c r="J121" t="s">
        <v>203</v>
      </c>
      <c r="K121">
        <v>17</v>
      </c>
      <c r="L121" t="str">
        <f t="shared" si="11"/>
        <v>Large Order</v>
      </c>
      <c r="M121" t="str" cm="1">
        <f t="array" ref="M121">_xlfn.IFS(K121&gt;=25,"Bulk",K121&gt;=10,"Large",K121&lt;10,"Standard")</f>
        <v>Large</v>
      </c>
      <c r="N121" s="2">
        <v>16.16</v>
      </c>
      <c r="O121" s="2">
        <f t="shared" si="12"/>
        <v>274.72000000000003</v>
      </c>
      <c r="P121" s="3">
        <v>46252</v>
      </c>
      <c r="Q121" s="5"/>
      <c r="R121" s="5" t="str">
        <f t="shared" si="13"/>
        <v>No Discount</v>
      </c>
      <c r="T121" s="4"/>
      <c r="U121" s="7">
        <f>O121*(1-T121)</f>
        <v>274.72000000000003</v>
      </c>
      <c r="V121" s="4"/>
    </row>
    <row r="122" spans="1:22" x14ac:dyDescent="0.25">
      <c r="A122">
        <v>100121</v>
      </c>
      <c r="B122" t="s">
        <v>35</v>
      </c>
      <c r="C122" t="str">
        <f t="shared" si="7"/>
        <v>ROM</v>
      </c>
      <c r="D122" t="str">
        <f t="shared" si="8"/>
        <v>067</v>
      </c>
      <c r="E122" t="str">
        <f t="shared" si="9"/>
        <v>ROM-067</v>
      </c>
      <c r="F122" t="s">
        <v>44</v>
      </c>
      <c r="G122" t="s">
        <v>29</v>
      </c>
      <c r="H122" t="s">
        <v>37</v>
      </c>
      <c r="I122">
        <f t="shared" si="10"/>
        <v>7</v>
      </c>
      <c r="J122" t="s">
        <v>203</v>
      </c>
      <c r="K122">
        <v>1</v>
      </c>
      <c r="L122" t="str">
        <f t="shared" si="11"/>
        <v>Standard Order</v>
      </c>
      <c r="M122" t="str" cm="1">
        <f t="array" ref="M122">_xlfn.IFS(K122&gt;=25,"Bulk",K122&gt;=10,"Large",K122&lt;10,"Standard")</f>
        <v>Standard</v>
      </c>
      <c r="N122" s="2">
        <v>9.27</v>
      </c>
      <c r="O122" s="2">
        <f t="shared" si="12"/>
        <v>9.27</v>
      </c>
      <c r="P122" s="3">
        <v>46252</v>
      </c>
      <c r="Q122" s="5"/>
      <c r="R122" s="5" t="str">
        <f t="shared" si="13"/>
        <v>No Discount</v>
      </c>
      <c r="T122" s="4"/>
      <c r="U122" s="7">
        <f>O122*(1-T122)</f>
        <v>9.27</v>
      </c>
      <c r="V122" s="4"/>
    </row>
    <row r="123" spans="1:22" x14ac:dyDescent="0.25">
      <c r="A123">
        <v>100122</v>
      </c>
      <c r="B123" t="s">
        <v>153</v>
      </c>
      <c r="C123" t="str">
        <f t="shared" si="7"/>
        <v>THR</v>
      </c>
      <c r="D123" t="str">
        <f t="shared" si="8"/>
        <v>023</v>
      </c>
      <c r="E123" t="str">
        <f t="shared" si="9"/>
        <v>THR-023</v>
      </c>
      <c r="F123" t="s">
        <v>110</v>
      </c>
      <c r="G123" t="s">
        <v>15</v>
      </c>
      <c r="H123" t="s">
        <v>33</v>
      </c>
      <c r="I123">
        <f t="shared" si="10"/>
        <v>8</v>
      </c>
      <c r="J123" t="s">
        <v>203</v>
      </c>
      <c r="K123">
        <v>5</v>
      </c>
      <c r="L123" t="str">
        <f t="shared" si="11"/>
        <v>Standard Order</v>
      </c>
      <c r="M123" t="str" cm="1">
        <f t="array" ref="M123">_xlfn.IFS(K123&gt;=25,"Bulk",K123&gt;=10,"Large",K123&lt;10,"Standard")</f>
        <v>Standard</v>
      </c>
      <c r="N123" s="2">
        <v>22.4</v>
      </c>
      <c r="O123" s="2">
        <f t="shared" si="12"/>
        <v>112</v>
      </c>
      <c r="P123" s="3">
        <v>46253</v>
      </c>
      <c r="Q123" s="5"/>
      <c r="R123" s="5" t="str">
        <f t="shared" si="13"/>
        <v>No Discount</v>
      </c>
      <c r="T123" s="4"/>
      <c r="U123" s="7">
        <f>O123*(1-T123)</f>
        <v>112</v>
      </c>
      <c r="V123" s="4"/>
    </row>
    <row r="124" spans="1:22" x14ac:dyDescent="0.25">
      <c r="A124">
        <v>100123</v>
      </c>
      <c r="B124" t="s">
        <v>154</v>
      </c>
      <c r="C124" t="str">
        <f t="shared" si="7"/>
        <v>POE</v>
      </c>
      <c r="D124" t="str">
        <f t="shared" si="8"/>
        <v>033</v>
      </c>
      <c r="E124" t="str">
        <f t="shared" si="9"/>
        <v>POE-033</v>
      </c>
      <c r="F124" t="s">
        <v>155</v>
      </c>
      <c r="G124" t="s">
        <v>49</v>
      </c>
      <c r="H124" t="s">
        <v>74</v>
      </c>
      <c r="I124">
        <f t="shared" si="10"/>
        <v>6</v>
      </c>
      <c r="J124" t="s">
        <v>59</v>
      </c>
      <c r="K124">
        <v>10</v>
      </c>
      <c r="L124" t="str">
        <f t="shared" si="11"/>
        <v>Large Order</v>
      </c>
      <c r="M124" t="str" cm="1">
        <f t="array" ref="M124">_xlfn.IFS(K124&gt;=25,"Bulk",K124&gt;=10,"Large",K124&lt;10,"Standard")</f>
        <v>Large</v>
      </c>
      <c r="N124" s="2">
        <v>29.6</v>
      </c>
      <c r="O124" s="2">
        <f t="shared" si="12"/>
        <v>296</v>
      </c>
      <c r="P124" s="3">
        <v>46254</v>
      </c>
      <c r="Q124" s="5"/>
      <c r="R124" s="5" t="str">
        <f t="shared" si="13"/>
        <v>No Discount</v>
      </c>
      <c r="T124" s="4"/>
      <c r="U124" s="7">
        <f>O124*(1-T124)</f>
        <v>296</v>
      </c>
      <c r="V124" s="4"/>
    </row>
    <row r="125" spans="1:22" x14ac:dyDescent="0.25">
      <c r="A125">
        <v>100124</v>
      </c>
      <c r="B125" t="s">
        <v>21</v>
      </c>
      <c r="C125" t="str">
        <f t="shared" si="7"/>
        <v>SCI</v>
      </c>
      <c r="D125" t="str">
        <f t="shared" si="8"/>
        <v>043</v>
      </c>
      <c r="E125" t="str">
        <f t="shared" si="9"/>
        <v>SCI-043</v>
      </c>
      <c r="F125" t="s">
        <v>63</v>
      </c>
      <c r="G125" t="s">
        <v>15</v>
      </c>
      <c r="H125" t="s">
        <v>23</v>
      </c>
      <c r="I125">
        <f t="shared" si="10"/>
        <v>15</v>
      </c>
      <c r="J125" t="s">
        <v>203</v>
      </c>
      <c r="K125">
        <v>6</v>
      </c>
      <c r="L125" t="str">
        <f t="shared" si="11"/>
        <v>Standard Order</v>
      </c>
      <c r="M125" t="str" cm="1">
        <f t="array" ref="M125">_xlfn.IFS(K125&gt;=25,"Bulk",K125&gt;=10,"Large",K125&lt;10,"Standard")</f>
        <v>Standard</v>
      </c>
      <c r="N125" s="2">
        <v>28.86</v>
      </c>
      <c r="O125" s="2">
        <f t="shared" si="12"/>
        <v>173.16</v>
      </c>
      <c r="P125" s="3">
        <v>46254</v>
      </c>
      <c r="Q125" s="5"/>
      <c r="R125" s="5" t="str">
        <f t="shared" si="13"/>
        <v>No Discount</v>
      </c>
      <c r="T125" s="4"/>
      <c r="U125" s="7">
        <f>O125*(1-T125)</f>
        <v>173.16</v>
      </c>
      <c r="V125" s="4"/>
    </row>
    <row r="126" spans="1:22" x14ac:dyDescent="0.25">
      <c r="A126">
        <v>100125</v>
      </c>
      <c r="B126" t="s">
        <v>156</v>
      </c>
      <c r="C126" t="str">
        <f t="shared" si="7"/>
        <v>MYS</v>
      </c>
      <c r="D126" t="str">
        <f t="shared" si="8"/>
        <v>001</v>
      </c>
      <c r="E126" t="str">
        <f t="shared" si="9"/>
        <v>MYS-001</v>
      </c>
      <c r="F126" t="s">
        <v>157</v>
      </c>
      <c r="G126" t="s">
        <v>11</v>
      </c>
      <c r="H126" t="s">
        <v>30</v>
      </c>
      <c r="I126">
        <f t="shared" si="10"/>
        <v>7</v>
      </c>
      <c r="J126" t="s">
        <v>203</v>
      </c>
      <c r="K126">
        <v>1</v>
      </c>
      <c r="L126" t="str">
        <f t="shared" si="11"/>
        <v>Standard Order</v>
      </c>
      <c r="M126" t="str" cm="1">
        <f t="array" ref="M126">_xlfn.IFS(K126&gt;=25,"Bulk",K126&gt;=10,"Large",K126&lt;10,"Standard")</f>
        <v>Standard</v>
      </c>
      <c r="N126" s="2">
        <v>11.82</v>
      </c>
      <c r="O126" s="2">
        <f t="shared" si="12"/>
        <v>11.82</v>
      </c>
      <c r="P126" s="3">
        <v>46255</v>
      </c>
      <c r="Q126" s="5"/>
      <c r="R126" s="5" t="str">
        <f t="shared" si="13"/>
        <v>No Discount</v>
      </c>
      <c r="T126" s="4"/>
      <c r="U126" s="7">
        <f>O126*(1-T126)</f>
        <v>11.82</v>
      </c>
      <c r="V126" s="4"/>
    </row>
    <row r="127" spans="1:22" x14ac:dyDescent="0.25">
      <c r="A127">
        <v>100126</v>
      </c>
      <c r="B127" t="s">
        <v>45</v>
      </c>
      <c r="C127" t="str">
        <f t="shared" si="7"/>
        <v>SCI</v>
      </c>
      <c r="D127" t="str">
        <f t="shared" si="8"/>
        <v>069</v>
      </c>
      <c r="E127" t="str">
        <f t="shared" si="9"/>
        <v>SCI-069</v>
      </c>
      <c r="F127" t="s">
        <v>54</v>
      </c>
      <c r="G127" t="s">
        <v>29</v>
      </c>
      <c r="H127" t="s">
        <v>23</v>
      </c>
      <c r="I127">
        <f t="shared" si="10"/>
        <v>15</v>
      </c>
      <c r="J127" t="s">
        <v>203</v>
      </c>
      <c r="K127">
        <v>2</v>
      </c>
      <c r="L127" t="str">
        <f t="shared" si="11"/>
        <v>Standard Order</v>
      </c>
      <c r="M127" t="str" cm="1">
        <f t="array" ref="M127">_xlfn.IFS(K127&gt;=25,"Bulk",K127&gt;=10,"Large",K127&lt;10,"Standard")</f>
        <v>Standard</v>
      </c>
      <c r="N127" s="2">
        <v>32.54</v>
      </c>
      <c r="O127" s="2">
        <f t="shared" si="12"/>
        <v>65.08</v>
      </c>
      <c r="P127" s="3">
        <v>46256</v>
      </c>
      <c r="Q127" s="5"/>
      <c r="R127" s="5" t="str">
        <f t="shared" si="13"/>
        <v>Discount</v>
      </c>
      <c r="S127" t="s">
        <v>68</v>
      </c>
      <c r="T127" s="4">
        <v>0.1</v>
      </c>
      <c r="U127" s="7">
        <f>O127*(1-T127)</f>
        <v>58.572000000000003</v>
      </c>
      <c r="V127" s="4"/>
    </row>
    <row r="128" spans="1:22" x14ac:dyDescent="0.25">
      <c r="A128">
        <v>100127</v>
      </c>
      <c r="B128" t="s">
        <v>154</v>
      </c>
      <c r="C128" t="str">
        <f t="shared" si="7"/>
        <v>POE</v>
      </c>
      <c r="D128" t="str">
        <f t="shared" si="8"/>
        <v>033</v>
      </c>
      <c r="E128" t="str">
        <f t="shared" si="9"/>
        <v>POE-033</v>
      </c>
      <c r="F128" t="s">
        <v>158</v>
      </c>
      <c r="G128" t="s">
        <v>15</v>
      </c>
      <c r="H128" t="s">
        <v>74</v>
      </c>
      <c r="I128">
        <f t="shared" si="10"/>
        <v>6</v>
      </c>
      <c r="J128" t="s">
        <v>59</v>
      </c>
      <c r="K128">
        <v>6</v>
      </c>
      <c r="L128" t="str">
        <f t="shared" si="11"/>
        <v>Standard Order</v>
      </c>
      <c r="M128" t="str" cm="1">
        <f t="array" ref="M128">_xlfn.IFS(K128&gt;=25,"Bulk",K128&gt;=10,"Large",K128&lt;10,"Standard")</f>
        <v>Standard</v>
      </c>
      <c r="N128" s="2">
        <v>26.91</v>
      </c>
      <c r="O128" s="2">
        <f t="shared" si="12"/>
        <v>161.46</v>
      </c>
      <c r="P128" s="3">
        <v>46256</v>
      </c>
      <c r="Q128" s="5"/>
      <c r="R128" s="5" t="str">
        <f t="shared" si="13"/>
        <v>Discount</v>
      </c>
      <c r="S128" t="s">
        <v>17</v>
      </c>
      <c r="T128" s="4">
        <v>0.2</v>
      </c>
      <c r="U128" s="7">
        <f>O128*(1-T128)</f>
        <v>129.16800000000001</v>
      </c>
      <c r="V128" s="4"/>
    </row>
    <row r="129" spans="1:22" x14ac:dyDescent="0.25">
      <c r="A129">
        <v>100128</v>
      </c>
      <c r="B129" t="s">
        <v>159</v>
      </c>
      <c r="C129" t="str">
        <f t="shared" si="7"/>
        <v>SCI</v>
      </c>
      <c r="D129" t="str">
        <f t="shared" si="8"/>
        <v>017</v>
      </c>
      <c r="E129" t="str">
        <f t="shared" si="9"/>
        <v>SCI-017</v>
      </c>
      <c r="F129" t="s">
        <v>160</v>
      </c>
      <c r="G129" t="s">
        <v>11</v>
      </c>
      <c r="H129" t="s">
        <v>23</v>
      </c>
      <c r="I129">
        <f t="shared" si="10"/>
        <v>15</v>
      </c>
      <c r="J129" t="s">
        <v>203</v>
      </c>
      <c r="K129">
        <v>1</v>
      </c>
      <c r="L129" t="str">
        <f t="shared" si="11"/>
        <v>Standard Order</v>
      </c>
      <c r="M129" t="str" cm="1">
        <f t="array" ref="M129">_xlfn.IFS(K129&gt;=25,"Bulk",K129&gt;=10,"Large",K129&lt;10,"Standard")</f>
        <v>Standard</v>
      </c>
      <c r="N129" s="2">
        <v>32.53</v>
      </c>
      <c r="O129" s="2">
        <f t="shared" si="12"/>
        <v>32.53</v>
      </c>
      <c r="P129" s="3">
        <v>46257</v>
      </c>
      <c r="Q129" s="5"/>
      <c r="R129" s="5" t="str">
        <f t="shared" si="13"/>
        <v>No Discount</v>
      </c>
      <c r="T129" s="4"/>
      <c r="U129" s="7">
        <f>O129*(1-T129)</f>
        <v>32.53</v>
      </c>
      <c r="V129" s="4"/>
    </row>
    <row r="130" spans="1:22" x14ac:dyDescent="0.25">
      <c r="A130">
        <v>100129</v>
      </c>
      <c r="B130" t="s">
        <v>148</v>
      </c>
      <c r="C130" t="str">
        <f t="shared" si="7"/>
        <v>SLF</v>
      </c>
      <c r="D130" t="str">
        <f t="shared" si="8"/>
        <v>051</v>
      </c>
      <c r="E130" t="str">
        <f t="shared" si="9"/>
        <v>SLF-051</v>
      </c>
      <c r="F130" t="s">
        <v>161</v>
      </c>
      <c r="G130" t="s">
        <v>49</v>
      </c>
      <c r="H130" t="s">
        <v>61</v>
      </c>
      <c r="I130">
        <f t="shared" si="10"/>
        <v>9</v>
      </c>
      <c r="J130" t="s">
        <v>59</v>
      </c>
      <c r="K130">
        <v>7</v>
      </c>
      <c r="L130" t="str">
        <f t="shared" si="11"/>
        <v>Standard Order</v>
      </c>
      <c r="M130" t="str" cm="1">
        <f t="array" ref="M130">_xlfn.IFS(K130&gt;=25,"Bulk",K130&gt;=10,"Large",K130&lt;10,"Standard")</f>
        <v>Standard</v>
      </c>
      <c r="N130" s="2">
        <v>33.450000000000003</v>
      </c>
      <c r="O130" s="2">
        <f t="shared" si="12"/>
        <v>234.15000000000003</v>
      </c>
      <c r="P130" s="3">
        <v>46258</v>
      </c>
      <c r="Q130" s="5"/>
      <c r="R130" s="5" t="str">
        <f t="shared" si="13"/>
        <v>Discount</v>
      </c>
      <c r="S130" t="s">
        <v>68</v>
      </c>
      <c r="T130" s="4">
        <v>0.1</v>
      </c>
      <c r="U130" s="7">
        <f>O130*(1-T130)</f>
        <v>210.73500000000004</v>
      </c>
      <c r="V130" s="4"/>
    </row>
    <row r="131" spans="1:22" x14ac:dyDescent="0.25">
      <c r="A131">
        <v>100130</v>
      </c>
      <c r="B131" t="s">
        <v>162</v>
      </c>
      <c r="C131" t="str">
        <f t="shared" ref="C131:C194" si="14">LEFT(B131,3)</f>
        <v>ROM</v>
      </c>
      <c r="D131" t="str">
        <f t="shared" ref="D131:D194" si="15">RIGHT(B131,3)</f>
        <v>002</v>
      </c>
      <c r="E131" t="str">
        <f t="shared" ref="E131:E194" si="16">C131&amp;"-"&amp;D131</f>
        <v>ROM-002</v>
      </c>
      <c r="F131" t="s">
        <v>155</v>
      </c>
      <c r="G131" t="s">
        <v>49</v>
      </c>
      <c r="H131" t="s">
        <v>37</v>
      </c>
      <c r="I131">
        <f t="shared" ref="I131:I194" si="17">LEN(H131)</f>
        <v>7</v>
      </c>
      <c r="J131" t="s">
        <v>203</v>
      </c>
      <c r="K131">
        <v>22</v>
      </c>
      <c r="L131" t="str">
        <f t="shared" ref="L131:L194" si="18">IF(K131&gt;=10,"Large Order","Standard Order")</f>
        <v>Large Order</v>
      </c>
      <c r="M131" t="str" cm="1">
        <f t="array" ref="M131">_xlfn.IFS(K131&gt;=25,"Bulk",K131&gt;=10,"Large",K131&lt;10,"Standard")</f>
        <v>Large</v>
      </c>
      <c r="N131" s="2">
        <v>9.1999999999999993</v>
      </c>
      <c r="O131" s="2">
        <f t="shared" ref="O131:O194" si="19">K131*N131</f>
        <v>202.39999999999998</v>
      </c>
      <c r="P131" s="3">
        <v>46258</v>
      </c>
      <c r="Q131" s="5"/>
      <c r="R131" s="5" t="str">
        <f t="shared" ref="R131:R194" si="20">IF(S131="","No Discount","Discount")</f>
        <v>No Discount</v>
      </c>
      <c r="T131" s="4"/>
      <c r="U131" s="7">
        <f>O131*(1-T131)</f>
        <v>202.39999999999998</v>
      </c>
      <c r="V131" s="4"/>
    </row>
    <row r="132" spans="1:22" x14ac:dyDescent="0.25">
      <c r="A132">
        <v>100131</v>
      </c>
      <c r="B132" t="s">
        <v>79</v>
      </c>
      <c r="C132" t="str">
        <f t="shared" si="14"/>
        <v>THR</v>
      </c>
      <c r="D132" t="str">
        <f t="shared" si="15"/>
        <v>075</v>
      </c>
      <c r="E132" t="str">
        <f t="shared" si="16"/>
        <v>THR-075</v>
      </c>
      <c r="F132" t="s">
        <v>163</v>
      </c>
      <c r="G132" t="s">
        <v>42</v>
      </c>
      <c r="H132" t="s">
        <v>33</v>
      </c>
      <c r="I132">
        <f t="shared" si="17"/>
        <v>8</v>
      </c>
      <c r="J132" t="s">
        <v>203</v>
      </c>
      <c r="K132">
        <v>2</v>
      </c>
      <c r="L132" t="str">
        <f t="shared" si="18"/>
        <v>Standard Order</v>
      </c>
      <c r="M132" t="str" cm="1">
        <f t="array" ref="M132">_xlfn.IFS(K132&gt;=25,"Bulk",K132&gt;=10,"Large",K132&lt;10,"Standard")</f>
        <v>Standard</v>
      </c>
      <c r="N132" s="2">
        <v>15.07</v>
      </c>
      <c r="O132" s="2">
        <f t="shared" si="19"/>
        <v>30.14</v>
      </c>
      <c r="P132" s="3">
        <v>46259</v>
      </c>
      <c r="Q132" s="5"/>
      <c r="R132" s="5" t="str">
        <f t="shared" si="20"/>
        <v>Discount</v>
      </c>
      <c r="S132" t="s">
        <v>20</v>
      </c>
      <c r="T132" s="4">
        <v>0.05</v>
      </c>
      <c r="U132" s="7">
        <f>O132*(1-T132)</f>
        <v>28.632999999999999</v>
      </c>
      <c r="V132" s="4"/>
    </row>
    <row r="133" spans="1:22" x14ac:dyDescent="0.25">
      <c r="A133">
        <v>100132</v>
      </c>
      <c r="B133" t="s">
        <v>88</v>
      </c>
      <c r="C133" t="str">
        <f t="shared" si="14"/>
        <v>HOR</v>
      </c>
      <c r="D133" t="str">
        <f t="shared" si="15"/>
        <v>034</v>
      </c>
      <c r="E133" t="str">
        <f t="shared" si="16"/>
        <v>HOR-034</v>
      </c>
      <c r="F133" t="s">
        <v>71</v>
      </c>
      <c r="G133" t="s">
        <v>29</v>
      </c>
      <c r="H133" t="s">
        <v>27</v>
      </c>
      <c r="I133">
        <f t="shared" si="17"/>
        <v>6</v>
      </c>
      <c r="J133" t="s">
        <v>203</v>
      </c>
      <c r="K133">
        <v>8</v>
      </c>
      <c r="L133" t="str">
        <f t="shared" si="18"/>
        <v>Standard Order</v>
      </c>
      <c r="M133" t="str" cm="1">
        <f t="array" ref="M133">_xlfn.IFS(K133&gt;=25,"Bulk",K133&gt;=10,"Large",K133&lt;10,"Standard")</f>
        <v>Standard</v>
      </c>
      <c r="N133" s="2">
        <v>14.56</v>
      </c>
      <c r="O133" s="2">
        <f t="shared" si="19"/>
        <v>116.48</v>
      </c>
      <c r="P133" s="3">
        <v>46260</v>
      </c>
      <c r="Q133" s="5"/>
      <c r="R133" s="5" t="str">
        <f t="shared" si="20"/>
        <v>No Discount</v>
      </c>
      <c r="T133" s="4"/>
      <c r="U133" s="7">
        <f>O133*(1-T133)</f>
        <v>116.48</v>
      </c>
      <c r="V133" s="4"/>
    </row>
    <row r="134" spans="1:22" x14ac:dyDescent="0.25">
      <c r="A134">
        <v>100133</v>
      </c>
      <c r="B134" t="s">
        <v>66</v>
      </c>
      <c r="C134" t="str">
        <f t="shared" si="14"/>
        <v>NFC</v>
      </c>
      <c r="D134" t="str">
        <f t="shared" si="15"/>
        <v>031</v>
      </c>
      <c r="E134" t="str">
        <f t="shared" si="16"/>
        <v>NFC-031</v>
      </c>
      <c r="F134" t="s">
        <v>138</v>
      </c>
      <c r="G134" t="s">
        <v>49</v>
      </c>
      <c r="H134" t="s">
        <v>59</v>
      </c>
      <c r="I134">
        <f t="shared" si="17"/>
        <v>10</v>
      </c>
      <c r="J134" t="s">
        <v>59</v>
      </c>
      <c r="K134">
        <v>24</v>
      </c>
      <c r="L134" t="str">
        <f t="shared" si="18"/>
        <v>Large Order</v>
      </c>
      <c r="M134" t="str" cm="1">
        <f t="array" ref="M134">_xlfn.IFS(K134&gt;=25,"Bulk",K134&gt;=10,"Large",K134&lt;10,"Standard")</f>
        <v>Large</v>
      </c>
      <c r="N134" s="2">
        <v>23.91</v>
      </c>
      <c r="O134" s="2">
        <f t="shared" si="19"/>
        <v>573.84</v>
      </c>
      <c r="P134" s="3">
        <v>46260</v>
      </c>
      <c r="Q134" s="5"/>
      <c r="R134" s="5" t="str">
        <f t="shared" si="20"/>
        <v>No Discount</v>
      </c>
      <c r="T134" s="4"/>
      <c r="U134" s="7">
        <f>O134*(1-T134)</f>
        <v>573.84</v>
      </c>
      <c r="V134" s="4"/>
    </row>
    <row r="135" spans="1:22" x14ac:dyDescent="0.25">
      <c r="A135">
        <v>100134</v>
      </c>
      <c r="B135" t="s">
        <v>57</v>
      </c>
      <c r="C135" t="str">
        <f t="shared" si="14"/>
        <v>NFC</v>
      </c>
      <c r="D135" t="str">
        <f t="shared" si="15"/>
        <v>070</v>
      </c>
      <c r="E135" t="str">
        <f t="shared" si="16"/>
        <v>NFC-070</v>
      </c>
      <c r="F135" t="s">
        <v>39</v>
      </c>
      <c r="G135" t="s">
        <v>29</v>
      </c>
      <c r="H135" t="s">
        <v>59</v>
      </c>
      <c r="I135">
        <f t="shared" si="17"/>
        <v>10</v>
      </c>
      <c r="J135" t="s">
        <v>59</v>
      </c>
      <c r="K135">
        <v>1</v>
      </c>
      <c r="L135" t="str">
        <f t="shared" si="18"/>
        <v>Standard Order</v>
      </c>
      <c r="M135" t="str" cm="1">
        <f t="array" ref="M135">_xlfn.IFS(K135&gt;=25,"Bulk",K135&gt;=10,"Large",K135&lt;10,"Standard")</f>
        <v>Standard</v>
      </c>
      <c r="N135" s="2">
        <v>27.85</v>
      </c>
      <c r="O135" s="2">
        <f t="shared" si="19"/>
        <v>27.85</v>
      </c>
      <c r="P135" s="3">
        <v>46261</v>
      </c>
      <c r="Q135" s="5"/>
      <c r="R135" s="5" t="str">
        <f t="shared" si="20"/>
        <v>No Discount</v>
      </c>
      <c r="T135" s="4"/>
      <c r="U135" s="7">
        <f>O135*(1-T135)</f>
        <v>27.85</v>
      </c>
      <c r="V135" s="4"/>
    </row>
    <row r="136" spans="1:22" x14ac:dyDescent="0.25">
      <c r="A136">
        <v>100135</v>
      </c>
      <c r="B136" t="s">
        <v>45</v>
      </c>
      <c r="C136" t="str">
        <f t="shared" si="14"/>
        <v>SCI</v>
      </c>
      <c r="D136" t="str">
        <f t="shared" si="15"/>
        <v>069</v>
      </c>
      <c r="E136" t="str">
        <f t="shared" si="16"/>
        <v>SCI-069</v>
      </c>
      <c r="F136" t="s">
        <v>155</v>
      </c>
      <c r="G136" t="s">
        <v>49</v>
      </c>
      <c r="H136" t="s">
        <v>23</v>
      </c>
      <c r="I136">
        <f t="shared" si="17"/>
        <v>15</v>
      </c>
      <c r="J136" t="s">
        <v>203</v>
      </c>
      <c r="K136">
        <v>63</v>
      </c>
      <c r="L136" t="str">
        <f t="shared" si="18"/>
        <v>Large Order</v>
      </c>
      <c r="M136" t="str" cm="1">
        <f t="array" ref="M136">_xlfn.IFS(K136&gt;=25,"Bulk",K136&gt;=10,"Large",K136&lt;10,"Standard")</f>
        <v>Bulk</v>
      </c>
      <c r="N136" s="2">
        <v>23.17</v>
      </c>
      <c r="O136" s="2">
        <f t="shared" si="19"/>
        <v>1459.71</v>
      </c>
      <c r="P136" s="3">
        <v>46262</v>
      </c>
      <c r="Q136" s="5"/>
      <c r="R136" s="5" t="str">
        <f t="shared" si="20"/>
        <v>No Discount</v>
      </c>
      <c r="T136" s="4"/>
      <c r="U136" s="7">
        <f>O136*(1-T136)</f>
        <v>1459.71</v>
      </c>
      <c r="V136" s="4"/>
    </row>
    <row r="137" spans="1:22" x14ac:dyDescent="0.25">
      <c r="A137">
        <v>100136</v>
      </c>
      <c r="B137" t="s">
        <v>25</v>
      </c>
      <c r="C137" t="str">
        <f t="shared" si="14"/>
        <v>HOR</v>
      </c>
      <c r="D137" t="str">
        <f t="shared" si="15"/>
        <v>060</v>
      </c>
      <c r="E137" t="str">
        <f t="shared" si="16"/>
        <v>HOR-060</v>
      </c>
      <c r="F137" t="s">
        <v>48</v>
      </c>
      <c r="G137" t="s">
        <v>49</v>
      </c>
      <c r="H137" t="s">
        <v>27</v>
      </c>
      <c r="I137">
        <f t="shared" si="17"/>
        <v>6</v>
      </c>
      <c r="J137" t="s">
        <v>203</v>
      </c>
      <c r="K137">
        <v>21</v>
      </c>
      <c r="L137" t="str">
        <f t="shared" si="18"/>
        <v>Large Order</v>
      </c>
      <c r="M137" t="str" cm="1">
        <f t="array" ref="M137">_xlfn.IFS(K137&gt;=25,"Bulk",K137&gt;=10,"Large",K137&lt;10,"Standard")</f>
        <v>Large</v>
      </c>
      <c r="N137" s="2">
        <v>12.99</v>
      </c>
      <c r="O137" s="2">
        <f t="shared" si="19"/>
        <v>272.79000000000002</v>
      </c>
      <c r="P137" s="3">
        <v>46262</v>
      </c>
      <c r="Q137" s="5"/>
      <c r="R137" s="5" t="str">
        <f t="shared" si="20"/>
        <v>No Discount</v>
      </c>
      <c r="T137" s="4"/>
      <c r="U137" s="7">
        <f>O137*(1-T137)</f>
        <v>272.79000000000002</v>
      </c>
      <c r="V137" s="4"/>
    </row>
    <row r="138" spans="1:22" x14ac:dyDescent="0.25">
      <c r="A138">
        <v>100137</v>
      </c>
      <c r="B138" t="s">
        <v>164</v>
      </c>
      <c r="C138" t="str">
        <f t="shared" si="14"/>
        <v>FAN</v>
      </c>
      <c r="D138" t="str">
        <f t="shared" si="15"/>
        <v>016</v>
      </c>
      <c r="E138" t="str">
        <f t="shared" si="16"/>
        <v>FAN-016</v>
      </c>
      <c r="F138" t="s">
        <v>165</v>
      </c>
      <c r="G138" t="s">
        <v>42</v>
      </c>
      <c r="H138" t="s">
        <v>12</v>
      </c>
      <c r="I138">
        <f t="shared" si="17"/>
        <v>7</v>
      </c>
      <c r="J138" t="s">
        <v>203</v>
      </c>
      <c r="K138">
        <v>8</v>
      </c>
      <c r="L138" t="str">
        <f t="shared" si="18"/>
        <v>Standard Order</v>
      </c>
      <c r="M138" t="str" cm="1">
        <f t="array" ref="M138">_xlfn.IFS(K138&gt;=25,"Bulk",K138&gt;=10,"Large",K138&lt;10,"Standard")</f>
        <v>Standard</v>
      </c>
      <c r="N138" s="2">
        <v>30.17</v>
      </c>
      <c r="O138" s="2">
        <f t="shared" si="19"/>
        <v>241.36</v>
      </c>
      <c r="P138" s="3">
        <v>46263</v>
      </c>
      <c r="Q138" s="5"/>
      <c r="R138" s="5" t="str">
        <f t="shared" si="20"/>
        <v>Discount</v>
      </c>
      <c r="S138" t="s">
        <v>20</v>
      </c>
      <c r="T138" s="4">
        <v>0.05</v>
      </c>
      <c r="U138" s="7">
        <f>O138*(1-T138)</f>
        <v>229.292</v>
      </c>
      <c r="V138" s="4"/>
    </row>
    <row r="139" spans="1:22" x14ac:dyDescent="0.25">
      <c r="A139">
        <v>100138</v>
      </c>
      <c r="B139" t="s">
        <v>121</v>
      </c>
      <c r="C139" t="str">
        <f t="shared" si="14"/>
        <v>HOR</v>
      </c>
      <c r="D139" t="str">
        <f t="shared" si="15"/>
        <v>073</v>
      </c>
      <c r="E139" t="str">
        <f t="shared" si="16"/>
        <v>HOR-073</v>
      </c>
      <c r="F139" t="s">
        <v>166</v>
      </c>
      <c r="G139" t="s">
        <v>29</v>
      </c>
      <c r="H139" t="s">
        <v>27</v>
      </c>
      <c r="I139">
        <f t="shared" si="17"/>
        <v>6</v>
      </c>
      <c r="J139" t="s">
        <v>203</v>
      </c>
      <c r="K139">
        <v>3</v>
      </c>
      <c r="L139" t="str">
        <f t="shared" si="18"/>
        <v>Standard Order</v>
      </c>
      <c r="M139" t="str" cm="1">
        <f t="array" ref="M139">_xlfn.IFS(K139&gt;=25,"Bulk",K139&gt;=10,"Large",K139&lt;10,"Standard")</f>
        <v>Standard</v>
      </c>
      <c r="N139" s="2">
        <v>13.15</v>
      </c>
      <c r="O139" s="2">
        <f t="shared" si="19"/>
        <v>39.450000000000003</v>
      </c>
      <c r="P139" s="3">
        <v>46263</v>
      </c>
      <c r="Q139" s="5"/>
      <c r="R139" s="5" t="str">
        <f t="shared" si="20"/>
        <v>No Discount</v>
      </c>
      <c r="T139" s="4"/>
      <c r="U139" s="7">
        <f>O139*(1-T139)</f>
        <v>39.450000000000003</v>
      </c>
      <c r="V139" s="4"/>
    </row>
    <row r="140" spans="1:22" x14ac:dyDescent="0.25">
      <c r="A140">
        <v>100139</v>
      </c>
      <c r="B140" t="s">
        <v>28</v>
      </c>
      <c r="C140" t="str">
        <f t="shared" si="14"/>
        <v>MYS</v>
      </c>
      <c r="D140" t="str">
        <f t="shared" si="15"/>
        <v>066</v>
      </c>
      <c r="E140" t="str">
        <f t="shared" si="16"/>
        <v>MYS-066</v>
      </c>
      <c r="F140" t="s">
        <v>167</v>
      </c>
      <c r="G140" t="s">
        <v>15</v>
      </c>
      <c r="H140" t="s">
        <v>30</v>
      </c>
      <c r="I140">
        <f t="shared" si="17"/>
        <v>7</v>
      </c>
      <c r="J140" t="s">
        <v>203</v>
      </c>
      <c r="K140">
        <v>10</v>
      </c>
      <c r="L140" t="str">
        <f t="shared" si="18"/>
        <v>Large Order</v>
      </c>
      <c r="M140" t="str" cm="1">
        <f t="array" ref="M140">_xlfn.IFS(K140&gt;=25,"Bulk",K140&gt;=10,"Large",K140&lt;10,"Standard")</f>
        <v>Large</v>
      </c>
      <c r="N140" s="2">
        <v>17.88</v>
      </c>
      <c r="O140" s="2">
        <f t="shared" si="19"/>
        <v>178.79999999999998</v>
      </c>
      <c r="P140" s="3">
        <v>46264</v>
      </c>
      <c r="Q140" s="5"/>
      <c r="R140" s="5" t="str">
        <f t="shared" si="20"/>
        <v>No Discount</v>
      </c>
      <c r="T140" s="4"/>
      <c r="U140" s="7">
        <f>O140*(1-T140)</f>
        <v>178.79999999999998</v>
      </c>
      <c r="V140" s="4"/>
    </row>
    <row r="141" spans="1:22" x14ac:dyDescent="0.25">
      <c r="A141">
        <v>100140</v>
      </c>
      <c r="B141" t="s">
        <v>91</v>
      </c>
      <c r="C141" t="str">
        <f t="shared" si="14"/>
        <v>FAN</v>
      </c>
      <c r="D141" t="str">
        <f t="shared" si="15"/>
        <v>055</v>
      </c>
      <c r="E141" t="str">
        <f t="shared" si="16"/>
        <v>FAN-055</v>
      </c>
      <c r="F141" t="s">
        <v>142</v>
      </c>
      <c r="G141" t="s">
        <v>49</v>
      </c>
      <c r="H141" t="s">
        <v>12</v>
      </c>
      <c r="I141">
        <f t="shared" si="17"/>
        <v>7</v>
      </c>
      <c r="J141" t="s">
        <v>203</v>
      </c>
      <c r="K141">
        <v>7</v>
      </c>
      <c r="L141" t="str">
        <f t="shared" si="18"/>
        <v>Standard Order</v>
      </c>
      <c r="M141" t="str" cm="1">
        <f t="array" ref="M141">_xlfn.IFS(K141&gt;=25,"Bulk",K141&gt;=10,"Large",K141&lt;10,"Standard")</f>
        <v>Standard</v>
      </c>
      <c r="N141" s="2">
        <v>22.39</v>
      </c>
      <c r="O141" s="2">
        <f t="shared" si="19"/>
        <v>156.73000000000002</v>
      </c>
      <c r="P141" s="3">
        <v>46265</v>
      </c>
      <c r="Q141" s="5"/>
      <c r="R141" s="5" t="str">
        <f t="shared" si="20"/>
        <v>No Discount</v>
      </c>
      <c r="T141" s="4"/>
      <c r="U141" s="7">
        <f>O141*(1-T141)</f>
        <v>156.73000000000002</v>
      </c>
      <c r="V141" s="4"/>
    </row>
    <row r="142" spans="1:22" x14ac:dyDescent="0.25">
      <c r="A142">
        <v>100141</v>
      </c>
      <c r="B142" t="s">
        <v>75</v>
      </c>
      <c r="C142" t="str">
        <f t="shared" si="14"/>
        <v>SCI</v>
      </c>
      <c r="D142" t="str">
        <f t="shared" si="15"/>
        <v>056</v>
      </c>
      <c r="E142" t="str">
        <f t="shared" si="16"/>
        <v>SCI-056</v>
      </c>
      <c r="F142" t="s">
        <v>65</v>
      </c>
      <c r="G142" t="s">
        <v>29</v>
      </c>
      <c r="H142" t="s">
        <v>23</v>
      </c>
      <c r="I142">
        <f t="shared" si="17"/>
        <v>15</v>
      </c>
      <c r="J142" t="s">
        <v>203</v>
      </c>
      <c r="K142">
        <v>1</v>
      </c>
      <c r="L142" t="str">
        <f t="shared" si="18"/>
        <v>Standard Order</v>
      </c>
      <c r="M142" t="str" cm="1">
        <f t="array" ref="M142">_xlfn.IFS(K142&gt;=25,"Bulk",K142&gt;=10,"Large",K142&lt;10,"Standard")</f>
        <v>Standard</v>
      </c>
      <c r="N142" s="2">
        <v>30.51</v>
      </c>
      <c r="O142" s="2">
        <f t="shared" si="19"/>
        <v>30.51</v>
      </c>
      <c r="P142" s="3">
        <v>46265</v>
      </c>
      <c r="Q142" s="5"/>
      <c r="R142" s="5" t="str">
        <f t="shared" si="20"/>
        <v>No Discount</v>
      </c>
      <c r="T142" s="4"/>
      <c r="U142" s="7">
        <f>O142*(1-T142)</f>
        <v>30.51</v>
      </c>
      <c r="V142" s="4"/>
    </row>
    <row r="143" spans="1:22" x14ac:dyDescent="0.25">
      <c r="A143">
        <v>100142</v>
      </c>
      <c r="B143" t="s">
        <v>50</v>
      </c>
      <c r="C143" t="str">
        <f t="shared" si="14"/>
        <v>BIO</v>
      </c>
      <c r="D143" t="str">
        <f t="shared" si="15"/>
        <v>071</v>
      </c>
      <c r="E143" t="str">
        <f t="shared" si="16"/>
        <v>BIO-071</v>
      </c>
      <c r="F143" t="s">
        <v>77</v>
      </c>
      <c r="G143" t="s">
        <v>15</v>
      </c>
      <c r="H143" t="s">
        <v>52</v>
      </c>
      <c r="I143">
        <f t="shared" si="17"/>
        <v>9</v>
      </c>
      <c r="J143" t="s">
        <v>59</v>
      </c>
      <c r="K143">
        <v>4</v>
      </c>
      <c r="L143" t="str">
        <f t="shared" si="18"/>
        <v>Standard Order</v>
      </c>
      <c r="M143" t="str" cm="1">
        <f t="array" ref="M143">_xlfn.IFS(K143&gt;=25,"Bulk",K143&gt;=10,"Large",K143&lt;10,"Standard")</f>
        <v>Standard</v>
      </c>
      <c r="N143" s="2">
        <v>15.57</v>
      </c>
      <c r="O143" s="2">
        <f t="shared" si="19"/>
        <v>62.28</v>
      </c>
      <c r="P143" s="3">
        <v>46266</v>
      </c>
      <c r="Q143" s="5"/>
      <c r="R143" s="5" t="str">
        <f t="shared" si="20"/>
        <v>No Discount</v>
      </c>
      <c r="T143" s="4"/>
      <c r="U143" s="7">
        <f>O143*(1-T143)</f>
        <v>62.28</v>
      </c>
      <c r="V143" s="4"/>
    </row>
    <row r="144" spans="1:22" x14ac:dyDescent="0.25">
      <c r="A144">
        <v>100143</v>
      </c>
      <c r="B144" t="s">
        <v>121</v>
      </c>
      <c r="C144" t="str">
        <f t="shared" si="14"/>
        <v>HOR</v>
      </c>
      <c r="D144" t="str">
        <f t="shared" si="15"/>
        <v>073</v>
      </c>
      <c r="E144" t="str">
        <f t="shared" si="16"/>
        <v>HOR-073</v>
      </c>
      <c r="F144" t="s">
        <v>105</v>
      </c>
      <c r="G144" t="s">
        <v>42</v>
      </c>
      <c r="H144" t="s">
        <v>27</v>
      </c>
      <c r="I144">
        <f t="shared" si="17"/>
        <v>6</v>
      </c>
      <c r="J144" t="s">
        <v>203</v>
      </c>
      <c r="K144">
        <v>1</v>
      </c>
      <c r="L144" t="str">
        <f t="shared" si="18"/>
        <v>Standard Order</v>
      </c>
      <c r="M144" t="str" cm="1">
        <f t="array" ref="M144">_xlfn.IFS(K144&gt;=25,"Bulk",K144&gt;=10,"Large",K144&lt;10,"Standard")</f>
        <v>Standard</v>
      </c>
      <c r="N144" s="2">
        <v>20.079999999999998</v>
      </c>
      <c r="O144" s="2">
        <f t="shared" si="19"/>
        <v>20.079999999999998</v>
      </c>
      <c r="P144" s="3">
        <v>46267</v>
      </c>
      <c r="Q144" s="5"/>
      <c r="R144" s="5" t="str">
        <f t="shared" si="20"/>
        <v>No Discount</v>
      </c>
      <c r="T144" s="4"/>
      <c r="U144" s="7">
        <f>O144*(1-T144)</f>
        <v>20.079999999999998</v>
      </c>
      <c r="V144" s="4"/>
    </row>
    <row r="145" spans="1:22" x14ac:dyDescent="0.25">
      <c r="A145">
        <v>100144</v>
      </c>
      <c r="B145" t="s">
        <v>143</v>
      </c>
      <c r="C145" t="str">
        <f t="shared" si="14"/>
        <v>ROM</v>
      </c>
      <c r="D145" t="str">
        <f t="shared" si="15"/>
        <v>041</v>
      </c>
      <c r="E145" t="str">
        <f t="shared" si="16"/>
        <v>ROM-041</v>
      </c>
      <c r="F145" t="s">
        <v>147</v>
      </c>
      <c r="G145" t="s">
        <v>29</v>
      </c>
      <c r="H145" t="s">
        <v>37</v>
      </c>
      <c r="I145">
        <f t="shared" si="17"/>
        <v>7</v>
      </c>
      <c r="J145" t="s">
        <v>203</v>
      </c>
      <c r="K145">
        <v>2</v>
      </c>
      <c r="L145" t="str">
        <f t="shared" si="18"/>
        <v>Standard Order</v>
      </c>
      <c r="M145" t="str" cm="1">
        <f t="array" ref="M145">_xlfn.IFS(K145&gt;=25,"Bulk",K145&gt;=10,"Large",K145&lt;10,"Standard")</f>
        <v>Standard</v>
      </c>
      <c r="N145" s="2">
        <v>16.059999999999999</v>
      </c>
      <c r="O145" s="2">
        <f t="shared" si="19"/>
        <v>32.119999999999997</v>
      </c>
      <c r="P145" s="3">
        <v>46267</v>
      </c>
      <c r="Q145" s="5"/>
      <c r="R145" s="5" t="str">
        <f t="shared" si="20"/>
        <v>No Discount</v>
      </c>
      <c r="T145" s="4"/>
      <c r="U145" s="7">
        <f>O145*(1-T145)</f>
        <v>32.119999999999997</v>
      </c>
      <c r="V145" s="4"/>
    </row>
    <row r="146" spans="1:22" x14ac:dyDescent="0.25">
      <c r="A146">
        <v>100145</v>
      </c>
      <c r="B146" t="s">
        <v>28</v>
      </c>
      <c r="C146" t="str">
        <f t="shared" si="14"/>
        <v>MYS</v>
      </c>
      <c r="D146" t="str">
        <f t="shared" si="15"/>
        <v>066</v>
      </c>
      <c r="E146" t="str">
        <f t="shared" si="16"/>
        <v>MYS-066</v>
      </c>
      <c r="F146" t="s">
        <v>93</v>
      </c>
      <c r="G146" t="s">
        <v>15</v>
      </c>
      <c r="H146" t="s">
        <v>30</v>
      </c>
      <c r="I146">
        <f t="shared" si="17"/>
        <v>7</v>
      </c>
      <c r="J146" t="s">
        <v>203</v>
      </c>
      <c r="K146">
        <v>5</v>
      </c>
      <c r="L146" t="str">
        <f t="shared" si="18"/>
        <v>Standard Order</v>
      </c>
      <c r="M146" t="str" cm="1">
        <f t="array" ref="M146">_xlfn.IFS(K146&gt;=25,"Bulk",K146&gt;=10,"Large",K146&lt;10,"Standard")</f>
        <v>Standard</v>
      </c>
      <c r="N146" s="2">
        <v>13.47</v>
      </c>
      <c r="O146" s="2">
        <f t="shared" si="19"/>
        <v>67.350000000000009</v>
      </c>
      <c r="P146" s="3">
        <v>46268</v>
      </c>
      <c r="Q146" s="5"/>
      <c r="R146" s="5" t="str">
        <f t="shared" si="20"/>
        <v>No Discount</v>
      </c>
      <c r="T146" s="4"/>
      <c r="U146" s="7">
        <f>O146*(1-T146)</f>
        <v>67.350000000000009</v>
      </c>
      <c r="V146" s="4"/>
    </row>
    <row r="147" spans="1:22" x14ac:dyDescent="0.25">
      <c r="A147">
        <v>100146</v>
      </c>
      <c r="B147" t="s">
        <v>72</v>
      </c>
      <c r="C147" t="str">
        <f t="shared" si="14"/>
        <v>POE</v>
      </c>
      <c r="D147" t="str">
        <f t="shared" si="15"/>
        <v>072</v>
      </c>
      <c r="E147" t="str">
        <f t="shared" si="16"/>
        <v>POE-072</v>
      </c>
      <c r="F147" t="s">
        <v>26</v>
      </c>
      <c r="G147" t="s">
        <v>29</v>
      </c>
      <c r="H147" t="s">
        <v>74</v>
      </c>
      <c r="I147">
        <f t="shared" si="17"/>
        <v>6</v>
      </c>
      <c r="J147" t="s">
        <v>59</v>
      </c>
      <c r="K147">
        <v>1</v>
      </c>
      <c r="L147" t="str">
        <f t="shared" si="18"/>
        <v>Standard Order</v>
      </c>
      <c r="M147" t="str" cm="1">
        <f t="array" ref="M147">_xlfn.IFS(K147&gt;=25,"Bulk",K147&gt;=10,"Large",K147&lt;10,"Standard")</f>
        <v>Standard</v>
      </c>
      <c r="N147" s="2">
        <v>20.49</v>
      </c>
      <c r="O147" s="2">
        <f t="shared" si="19"/>
        <v>20.49</v>
      </c>
      <c r="P147" s="3">
        <v>46269</v>
      </c>
      <c r="Q147" s="5"/>
      <c r="R147" s="5" t="str">
        <f t="shared" si="20"/>
        <v>No Discount</v>
      </c>
      <c r="T147" s="4"/>
      <c r="U147" s="7">
        <f>O147*(1-T147)</f>
        <v>20.49</v>
      </c>
      <c r="V147" s="4"/>
    </row>
    <row r="148" spans="1:22" x14ac:dyDescent="0.25">
      <c r="A148">
        <v>100147</v>
      </c>
      <c r="B148" t="s">
        <v>121</v>
      </c>
      <c r="C148" t="str">
        <f t="shared" si="14"/>
        <v>HOR</v>
      </c>
      <c r="D148" t="str">
        <f t="shared" si="15"/>
        <v>073</v>
      </c>
      <c r="E148" t="str">
        <f t="shared" si="16"/>
        <v>HOR-073</v>
      </c>
      <c r="F148" t="s">
        <v>168</v>
      </c>
      <c r="G148" t="s">
        <v>29</v>
      </c>
      <c r="H148" t="s">
        <v>27</v>
      </c>
      <c r="I148">
        <f t="shared" si="17"/>
        <v>6</v>
      </c>
      <c r="J148" t="s">
        <v>203</v>
      </c>
      <c r="K148">
        <v>1</v>
      </c>
      <c r="L148" t="str">
        <f t="shared" si="18"/>
        <v>Standard Order</v>
      </c>
      <c r="M148" t="str" cm="1">
        <f t="array" ref="M148">_xlfn.IFS(K148&gt;=25,"Bulk",K148&gt;=10,"Large",K148&lt;10,"Standard")</f>
        <v>Standard</v>
      </c>
      <c r="N148" s="2">
        <v>32.380000000000003</v>
      </c>
      <c r="O148" s="2">
        <f t="shared" si="19"/>
        <v>32.380000000000003</v>
      </c>
      <c r="P148" s="3">
        <v>46269</v>
      </c>
      <c r="Q148" s="5"/>
      <c r="R148" s="5" t="str">
        <f t="shared" si="20"/>
        <v>No Discount</v>
      </c>
      <c r="T148" s="4"/>
      <c r="U148" s="7">
        <f>O148*(1-T148)</f>
        <v>32.380000000000003</v>
      </c>
      <c r="V148" s="4"/>
    </row>
    <row r="149" spans="1:22" x14ac:dyDescent="0.25">
      <c r="A149">
        <v>100148</v>
      </c>
      <c r="B149" t="s">
        <v>38</v>
      </c>
      <c r="C149" t="str">
        <f t="shared" si="14"/>
        <v>GRN</v>
      </c>
      <c r="D149" t="str">
        <f t="shared" si="15"/>
        <v>065</v>
      </c>
      <c r="E149" t="str">
        <f t="shared" si="16"/>
        <v>GRN-065</v>
      </c>
      <c r="F149" t="s">
        <v>36</v>
      </c>
      <c r="G149" t="s">
        <v>15</v>
      </c>
      <c r="H149" t="s">
        <v>40</v>
      </c>
      <c r="I149">
        <f t="shared" si="17"/>
        <v>13</v>
      </c>
      <c r="J149" t="s">
        <v>203</v>
      </c>
      <c r="K149">
        <v>6</v>
      </c>
      <c r="L149" t="str">
        <f t="shared" si="18"/>
        <v>Standard Order</v>
      </c>
      <c r="M149" t="str" cm="1">
        <f t="array" ref="M149">_xlfn.IFS(K149&gt;=25,"Bulk",K149&gt;=10,"Large",K149&lt;10,"Standard")</f>
        <v>Standard</v>
      </c>
      <c r="N149" s="2">
        <v>20.92</v>
      </c>
      <c r="O149" s="2">
        <f t="shared" si="19"/>
        <v>125.52000000000001</v>
      </c>
      <c r="P149" s="3">
        <v>46270</v>
      </c>
      <c r="Q149" s="5"/>
      <c r="R149" s="5" t="str">
        <f t="shared" si="20"/>
        <v>No Discount</v>
      </c>
      <c r="T149" s="4"/>
      <c r="U149" s="7">
        <f>O149*(1-T149)</f>
        <v>125.52000000000001</v>
      </c>
      <c r="V149" s="4"/>
    </row>
    <row r="150" spans="1:22" x14ac:dyDescent="0.25">
      <c r="A150">
        <v>100149</v>
      </c>
      <c r="B150" t="s">
        <v>28</v>
      </c>
      <c r="C150" t="str">
        <f t="shared" si="14"/>
        <v>MYS</v>
      </c>
      <c r="D150" t="str">
        <f t="shared" si="15"/>
        <v>066</v>
      </c>
      <c r="E150" t="str">
        <f t="shared" si="16"/>
        <v>MYS-066</v>
      </c>
      <c r="F150" t="s">
        <v>92</v>
      </c>
      <c r="G150" t="s">
        <v>29</v>
      </c>
      <c r="H150" t="s">
        <v>30</v>
      </c>
      <c r="I150">
        <f t="shared" si="17"/>
        <v>7</v>
      </c>
      <c r="J150" t="s">
        <v>203</v>
      </c>
      <c r="K150">
        <v>1</v>
      </c>
      <c r="L150" t="str">
        <f t="shared" si="18"/>
        <v>Standard Order</v>
      </c>
      <c r="M150" t="str" cm="1">
        <f t="array" ref="M150">_xlfn.IFS(K150&gt;=25,"Bulk",K150&gt;=10,"Large",K150&lt;10,"Standard")</f>
        <v>Standard</v>
      </c>
      <c r="N150" s="2">
        <v>34.17</v>
      </c>
      <c r="O150" s="2">
        <f t="shared" si="19"/>
        <v>34.17</v>
      </c>
      <c r="P150" s="3">
        <v>46271</v>
      </c>
      <c r="Q150" s="5"/>
      <c r="R150" s="5" t="str">
        <f t="shared" si="20"/>
        <v>No Discount</v>
      </c>
      <c r="T150" s="4"/>
      <c r="U150" s="7">
        <f>O150*(1-T150)</f>
        <v>34.17</v>
      </c>
      <c r="V150" s="4"/>
    </row>
    <row r="151" spans="1:22" x14ac:dyDescent="0.25">
      <c r="A151">
        <v>100150</v>
      </c>
      <c r="B151" t="s">
        <v>28</v>
      </c>
      <c r="C151" t="str">
        <f t="shared" si="14"/>
        <v>MYS</v>
      </c>
      <c r="D151" t="str">
        <f t="shared" si="15"/>
        <v>066</v>
      </c>
      <c r="E151" t="str">
        <f t="shared" si="16"/>
        <v>MYS-066</v>
      </c>
      <c r="F151" t="s">
        <v>110</v>
      </c>
      <c r="G151" t="s">
        <v>15</v>
      </c>
      <c r="H151" t="s">
        <v>30</v>
      </c>
      <c r="I151">
        <f t="shared" si="17"/>
        <v>7</v>
      </c>
      <c r="J151" t="s">
        <v>203</v>
      </c>
      <c r="K151">
        <v>4</v>
      </c>
      <c r="L151" t="str">
        <f t="shared" si="18"/>
        <v>Standard Order</v>
      </c>
      <c r="M151" t="str" cm="1">
        <f t="array" ref="M151">_xlfn.IFS(K151&gt;=25,"Bulk",K151&gt;=10,"Large",K151&lt;10,"Standard")</f>
        <v>Standard</v>
      </c>
      <c r="N151" s="2">
        <v>13.93</v>
      </c>
      <c r="O151" s="2">
        <f t="shared" si="19"/>
        <v>55.72</v>
      </c>
      <c r="P151" s="3">
        <v>46271</v>
      </c>
      <c r="Q151" s="5"/>
      <c r="R151" s="5" t="str">
        <f t="shared" si="20"/>
        <v>No Discount</v>
      </c>
      <c r="T151" s="4"/>
      <c r="U151" s="7">
        <f>O151*(1-T151)</f>
        <v>55.72</v>
      </c>
      <c r="V151" s="4"/>
    </row>
    <row r="152" spans="1:22" x14ac:dyDescent="0.25">
      <c r="A152">
        <v>100151</v>
      </c>
      <c r="B152" t="s">
        <v>169</v>
      </c>
      <c r="C152" t="str">
        <f t="shared" si="14"/>
        <v>SCI</v>
      </c>
      <c r="D152" t="str">
        <f t="shared" si="15"/>
        <v>004</v>
      </c>
      <c r="E152" t="str">
        <f t="shared" si="16"/>
        <v>SCI-004</v>
      </c>
      <c r="F152" t="s">
        <v>58</v>
      </c>
      <c r="G152" t="s">
        <v>29</v>
      </c>
      <c r="H152" t="s">
        <v>23</v>
      </c>
      <c r="I152">
        <f t="shared" si="17"/>
        <v>15</v>
      </c>
      <c r="J152" t="s">
        <v>203</v>
      </c>
      <c r="K152">
        <v>1</v>
      </c>
      <c r="L152" t="str">
        <f t="shared" si="18"/>
        <v>Standard Order</v>
      </c>
      <c r="M152" t="str" cm="1">
        <f t="array" ref="M152">_xlfn.IFS(K152&gt;=25,"Bulk",K152&gt;=10,"Large",K152&lt;10,"Standard")</f>
        <v>Standard</v>
      </c>
      <c r="N152" s="2">
        <v>31.62</v>
      </c>
      <c r="O152" s="2">
        <f t="shared" si="19"/>
        <v>31.62</v>
      </c>
      <c r="P152" s="3">
        <v>46272</v>
      </c>
      <c r="Q152" s="5"/>
      <c r="R152" s="5" t="str">
        <f t="shared" si="20"/>
        <v>No Discount</v>
      </c>
      <c r="T152" s="4"/>
      <c r="U152" s="7">
        <f>O152*(1-T152)</f>
        <v>31.62</v>
      </c>
      <c r="V152" s="4"/>
    </row>
    <row r="153" spans="1:22" x14ac:dyDescent="0.25">
      <c r="A153">
        <v>100152</v>
      </c>
      <c r="B153" t="s">
        <v>13</v>
      </c>
      <c r="C153" t="str">
        <f t="shared" si="14"/>
        <v>HIS</v>
      </c>
      <c r="D153" t="str">
        <f t="shared" si="15"/>
        <v>074</v>
      </c>
      <c r="E153" t="str">
        <f t="shared" si="16"/>
        <v>HIS-074</v>
      </c>
      <c r="F153" t="s">
        <v>105</v>
      </c>
      <c r="G153" t="s">
        <v>42</v>
      </c>
      <c r="H153" t="s">
        <v>16</v>
      </c>
      <c r="I153">
        <f t="shared" si="17"/>
        <v>18</v>
      </c>
      <c r="J153" t="s">
        <v>203</v>
      </c>
      <c r="K153">
        <v>1</v>
      </c>
      <c r="L153" t="str">
        <f t="shared" si="18"/>
        <v>Standard Order</v>
      </c>
      <c r="M153" t="str" cm="1">
        <f t="array" ref="M153">_xlfn.IFS(K153&gt;=25,"Bulk",K153&gt;=10,"Large",K153&lt;10,"Standard")</f>
        <v>Standard</v>
      </c>
      <c r="N153" s="2">
        <v>29.51</v>
      </c>
      <c r="O153" s="2">
        <f t="shared" si="19"/>
        <v>29.51</v>
      </c>
      <c r="P153" s="3">
        <v>46273</v>
      </c>
      <c r="Q153" s="5"/>
      <c r="R153" s="5" t="str">
        <f t="shared" si="20"/>
        <v>Discount</v>
      </c>
      <c r="S153" t="s">
        <v>68</v>
      </c>
      <c r="T153" s="4">
        <v>0.1</v>
      </c>
      <c r="U153" s="7">
        <f>O153*(1-T153)</f>
        <v>26.559000000000001</v>
      </c>
      <c r="V153" s="4"/>
    </row>
    <row r="154" spans="1:22" x14ac:dyDescent="0.25">
      <c r="A154">
        <v>100153</v>
      </c>
      <c r="B154" t="s">
        <v>13</v>
      </c>
      <c r="C154" t="str">
        <f t="shared" si="14"/>
        <v>HIS</v>
      </c>
      <c r="D154" t="str">
        <f t="shared" si="15"/>
        <v>074</v>
      </c>
      <c r="E154" t="str">
        <f t="shared" si="16"/>
        <v>HIS-074</v>
      </c>
      <c r="F154" t="s">
        <v>158</v>
      </c>
      <c r="G154" t="s">
        <v>15</v>
      </c>
      <c r="H154" t="s">
        <v>16</v>
      </c>
      <c r="I154">
        <f t="shared" si="17"/>
        <v>18</v>
      </c>
      <c r="J154" t="s">
        <v>203</v>
      </c>
      <c r="K154">
        <v>7</v>
      </c>
      <c r="L154" t="str">
        <f t="shared" si="18"/>
        <v>Standard Order</v>
      </c>
      <c r="M154" t="str" cm="1">
        <f t="array" ref="M154">_xlfn.IFS(K154&gt;=25,"Bulk",K154&gt;=10,"Large",K154&lt;10,"Standard")</f>
        <v>Standard</v>
      </c>
      <c r="N154" s="2">
        <v>29.73</v>
      </c>
      <c r="O154" s="2">
        <f t="shared" si="19"/>
        <v>208.11</v>
      </c>
      <c r="P154" s="3">
        <v>46273</v>
      </c>
      <c r="Q154" s="5"/>
      <c r="R154" s="5" t="str">
        <f t="shared" si="20"/>
        <v>No Discount</v>
      </c>
      <c r="T154" s="4"/>
      <c r="U154" s="7">
        <f>O154*(1-T154)</f>
        <v>208.11</v>
      </c>
      <c r="V154" s="4"/>
    </row>
    <row r="155" spans="1:22" x14ac:dyDescent="0.25">
      <c r="A155">
        <v>100154</v>
      </c>
      <c r="B155" t="s">
        <v>72</v>
      </c>
      <c r="C155" t="str">
        <f t="shared" si="14"/>
        <v>POE</v>
      </c>
      <c r="D155" t="str">
        <f t="shared" si="15"/>
        <v>072</v>
      </c>
      <c r="E155" t="str">
        <f t="shared" si="16"/>
        <v>POE-072</v>
      </c>
      <c r="F155" t="s">
        <v>71</v>
      </c>
      <c r="G155" t="s">
        <v>29</v>
      </c>
      <c r="H155" t="s">
        <v>74</v>
      </c>
      <c r="I155">
        <f t="shared" si="17"/>
        <v>6</v>
      </c>
      <c r="J155" t="s">
        <v>59</v>
      </c>
      <c r="K155">
        <v>1</v>
      </c>
      <c r="L155" t="str">
        <f t="shared" si="18"/>
        <v>Standard Order</v>
      </c>
      <c r="M155" t="str" cm="1">
        <f t="array" ref="M155">_xlfn.IFS(K155&gt;=25,"Bulk",K155&gt;=10,"Large",K155&lt;10,"Standard")</f>
        <v>Standard</v>
      </c>
      <c r="N155" s="2">
        <v>29.24</v>
      </c>
      <c r="O155" s="2">
        <f t="shared" si="19"/>
        <v>29.24</v>
      </c>
      <c r="P155" s="3">
        <v>46274</v>
      </c>
      <c r="Q155" s="5"/>
      <c r="R155" s="5" t="str">
        <f t="shared" si="20"/>
        <v>No Discount</v>
      </c>
      <c r="T155" s="4"/>
      <c r="U155" s="7">
        <f>O155*(1-T155)</f>
        <v>29.24</v>
      </c>
      <c r="V155" s="4"/>
    </row>
    <row r="156" spans="1:22" x14ac:dyDescent="0.25">
      <c r="A156">
        <v>100155</v>
      </c>
      <c r="B156" t="s">
        <v>140</v>
      </c>
      <c r="C156" t="str">
        <f t="shared" si="14"/>
        <v>THR</v>
      </c>
      <c r="D156" t="str">
        <f t="shared" si="15"/>
        <v>049</v>
      </c>
      <c r="E156" t="str">
        <f t="shared" si="16"/>
        <v>THR-049</v>
      </c>
      <c r="F156" t="s">
        <v>141</v>
      </c>
      <c r="G156" t="s">
        <v>29</v>
      </c>
      <c r="H156" t="s">
        <v>33</v>
      </c>
      <c r="I156">
        <f t="shared" si="17"/>
        <v>8</v>
      </c>
      <c r="J156" t="s">
        <v>203</v>
      </c>
      <c r="K156">
        <v>2</v>
      </c>
      <c r="L156" t="str">
        <f t="shared" si="18"/>
        <v>Standard Order</v>
      </c>
      <c r="M156" t="str" cm="1">
        <f t="array" ref="M156">_xlfn.IFS(K156&gt;=25,"Bulk",K156&gt;=10,"Large",K156&lt;10,"Standard")</f>
        <v>Standard</v>
      </c>
      <c r="N156" s="2">
        <v>32.729999999999997</v>
      </c>
      <c r="O156" s="2">
        <f t="shared" si="19"/>
        <v>65.459999999999994</v>
      </c>
      <c r="P156" s="3">
        <v>46275</v>
      </c>
      <c r="Q156" s="5"/>
      <c r="R156" s="5" t="str">
        <f t="shared" si="20"/>
        <v>No Discount</v>
      </c>
      <c r="T156" s="4"/>
      <c r="U156" s="7">
        <f>O156*(1-T156)</f>
        <v>65.459999999999994</v>
      </c>
      <c r="V156" s="4"/>
    </row>
    <row r="157" spans="1:22" x14ac:dyDescent="0.25">
      <c r="A157">
        <v>100156</v>
      </c>
      <c r="B157" t="s">
        <v>72</v>
      </c>
      <c r="C157" t="str">
        <f t="shared" si="14"/>
        <v>POE</v>
      </c>
      <c r="D157" t="str">
        <f t="shared" si="15"/>
        <v>072</v>
      </c>
      <c r="E157" t="str">
        <f t="shared" si="16"/>
        <v>POE-072</v>
      </c>
      <c r="F157" t="s">
        <v>95</v>
      </c>
      <c r="G157" t="s">
        <v>29</v>
      </c>
      <c r="H157" t="s">
        <v>74</v>
      </c>
      <c r="I157">
        <f t="shared" si="17"/>
        <v>6</v>
      </c>
      <c r="J157" t="s">
        <v>59</v>
      </c>
      <c r="K157">
        <v>1</v>
      </c>
      <c r="L157" t="str">
        <f t="shared" si="18"/>
        <v>Standard Order</v>
      </c>
      <c r="M157" t="str" cm="1">
        <f t="array" ref="M157">_xlfn.IFS(K157&gt;=25,"Bulk",K157&gt;=10,"Large",K157&lt;10,"Standard")</f>
        <v>Standard</v>
      </c>
      <c r="N157" s="2">
        <v>31.01</v>
      </c>
      <c r="O157" s="2">
        <f t="shared" si="19"/>
        <v>31.01</v>
      </c>
      <c r="P157" s="3">
        <v>46275</v>
      </c>
      <c r="Q157" s="5"/>
      <c r="R157" s="5" t="str">
        <f t="shared" si="20"/>
        <v>Discount</v>
      </c>
      <c r="S157" t="s">
        <v>125</v>
      </c>
      <c r="T157" s="4">
        <v>0.1</v>
      </c>
      <c r="U157" s="7">
        <f>O157*(1-T157)</f>
        <v>27.909000000000002</v>
      </c>
      <c r="V157" s="4"/>
    </row>
    <row r="158" spans="1:22" x14ac:dyDescent="0.25">
      <c r="A158">
        <v>100157</v>
      </c>
      <c r="B158" t="s">
        <v>57</v>
      </c>
      <c r="C158" t="str">
        <f t="shared" si="14"/>
        <v>NFC</v>
      </c>
      <c r="D158" t="str">
        <f t="shared" si="15"/>
        <v>070</v>
      </c>
      <c r="E158" t="str">
        <f t="shared" si="16"/>
        <v>NFC-070</v>
      </c>
      <c r="F158" t="s">
        <v>155</v>
      </c>
      <c r="G158" t="s">
        <v>49</v>
      </c>
      <c r="H158" t="s">
        <v>59</v>
      </c>
      <c r="I158">
        <f t="shared" si="17"/>
        <v>10</v>
      </c>
      <c r="J158" t="s">
        <v>59</v>
      </c>
      <c r="K158">
        <v>5</v>
      </c>
      <c r="L158" t="str">
        <f t="shared" si="18"/>
        <v>Standard Order</v>
      </c>
      <c r="M158" t="str" cm="1">
        <f t="array" ref="M158">_xlfn.IFS(K158&gt;=25,"Bulk",K158&gt;=10,"Large",K158&lt;10,"Standard")</f>
        <v>Standard</v>
      </c>
      <c r="N158" s="2">
        <v>22.33</v>
      </c>
      <c r="O158" s="2">
        <f t="shared" si="19"/>
        <v>111.64999999999999</v>
      </c>
      <c r="P158" s="3">
        <v>46276</v>
      </c>
      <c r="Q158" s="5"/>
      <c r="R158" s="5" t="str">
        <f t="shared" si="20"/>
        <v>No Discount</v>
      </c>
      <c r="T158" s="4"/>
      <c r="U158" s="7">
        <f>O158*(1-T158)</f>
        <v>111.64999999999999</v>
      </c>
      <c r="V158" s="4"/>
    </row>
    <row r="159" spans="1:22" x14ac:dyDescent="0.25">
      <c r="A159">
        <v>100158</v>
      </c>
      <c r="B159" t="s">
        <v>9</v>
      </c>
      <c r="C159" t="str">
        <f t="shared" si="14"/>
        <v>FAN</v>
      </c>
      <c r="D159" t="str">
        <f t="shared" si="15"/>
        <v>068</v>
      </c>
      <c r="E159" t="str">
        <f t="shared" si="16"/>
        <v>FAN-068</v>
      </c>
      <c r="F159" t="s">
        <v>168</v>
      </c>
      <c r="G159" t="s">
        <v>29</v>
      </c>
      <c r="H159" t="s">
        <v>12</v>
      </c>
      <c r="I159">
        <f t="shared" si="17"/>
        <v>7</v>
      </c>
      <c r="J159" t="s">
        <v>203</v>
      </c>
      <c r="K159">
        <v>2</v>
      </c>
      <c r="L159" t="str">
        <f t="shared" si="18"/>
        <v>Standard Order</v>
      </c>
      <c r="M159" t="str" cm="1">
        <f t="array" ref="M159">_xlfn.IFS(K159&gt;=25,"Bulk",K159&gt;=10,"Large",K159&lt;10,"Standard")</f>
        <v>Standard</v>
      </c>
      <c r="N159" s="2">
        <v>10.66</v>
      </c>
      <c r="O159" s="2">
        <f t="shared" si="19"/>
        <v>21.32</v>
      </c>
      <c r="P159" s="3">
        <v>46277</v>
      </c>
      <c r="Q159" s="5"/>
      <c r="R159" s="5" t="str">
        <f t="shared" si="20"/>
        <v>No Discount</v>
      </c>
      <c r="T159" s="4"/>
      <c r="U159" s="7">
        <f>O159*(1-T159)</f>
        <v>21.32</v>
      </c>
      <c r="V159" s="4"/>
    </row>
    <row r="160" spans="1:22" x14ac:dyDescent="0.25">
      <c r="A160">
        <v>100159</v>
      </c>
      <c r="B160" t="s">
        <v>104</v>
      </c>
      <c r="C160" t="str">
        <f t="shared" si="14"/>
        <v>THR</v>
      </c>
      <c r="D160" t="str">
        <f t="shared" si="15"/>
        <v>062</v>
      </c>
      <c r="E160" t="str">
        <f t="shared" si="16"/>
        <v>THR-062</v>
      </c>
      <c r="F160" t="s">
        <v>145</v>
      </c>
      <c r="G160" t="s">
        <v>29</v>
      </c>
      <c r="H160" t="s">
        <v>33</v>
      </c>
      <c r="I160">
        <f t="shared" si="17"/>
        <v>8</v>
      </c>
      <c r="J160" t="s">
        <v>203</v>
      </c>
      <c r="K160">
        <v>3</v>
      </c>
      <c r="L160" t="str">
        <f t="shared" si="18"/>
        <v>Standard Order</v>
      </c>
      <c r="M160" t="str" cm="1">
        <f t="array" ref="M160">_xlfn.IFS(K160&gt;=25,"Bulk",K160&gt;=10,"Large",K160&lt;10,"Standard")</f>
        <v>Standard</v>
      </c>
      <c r="N160" s="2">
        <v>21.49</v>
      </c>
      <c r="O160" s="2">
        <f t="shared" si="19"/>
        <v>64.47</v>
      </c>
      <c r="P160" s="3">
        <v>46277</v>
      </c>
      <c r="Q160" s="5"/>
      <c r="R160" s="5" t="str">
        <f t="shared" si="20"/>
        <v>No Discount</v>
      </c>
      <c r="T160" s="4"/>
      <c r="U160" s="7">
        <f>O160*(1-T160)</f>
        <v>64.47</v>
      </c>
      <c r="V160" s="4"/>
    </row>
    <row r="161" spans="1:22" x14ac:dyDescent="0.25">
      <c r="A161">
        <v>100160</v>
      </c>
      <c r="B161" t="s">
        <v>89</v>
      </c>
      <c r="C161" t="str">
        <f t="shared" si="14"/>
        <v>BIO</v>
      </c>
      <c r="D161" t="str">
        <f t="shared" si="15"/>
        <v>045</v>
      </c>
      <c r="E161" t="str">
        <f t="shared" si="16"/>
        <v>BIO-045</v>
      </c>
      <c r="F161" t="s">
        <v>111</v>
      </c>
      <c r="G161" t="s">
        <v>15</v>
      </c>
      <c r="H161" t="s">
        <v>52</v>
      </c>
      <c r="I161">
        <f t="shared" si="17"/>
        <v>9</v>
      </c>
      <c r="J161" t="s">
        <v>59</v>
      </c>
      <c r="K161">
        <v>7</v>
      </c>
      <c r="L161" t="str">
        <f t="shared" si="18"/>
        <v>Standard Order</v>
      </c>
      <c r="M161" t="str" cm="1">
        <f t="array" ref="M161">_xlfn.IFS(K161&gt;=25,"Bulk",K161&gt;=10,"Large",K161&lt;10,"Standard")</f>
        <v>Standard</v>
      </c>
      <c r="N161" s="2">
        <v>20.95</v>
      </c>
      <c r="O161" s="2">
        <f t="shared" si="19"/>
        <v>146.65</v>
      </c>
      <c r="P161" s="3">
        <v>46278</v>
      </c>
      <c r="Q161" s="5"/>
      <c r="R161" s="5" t="str">
        <f t="shared" si="20"/>
        <v>No Discount</v>
      </c>
      <c r="T161" s="4"/>
      <c r="U161" s="7">
        <f>O161*(1-T161)</f>
        <v>146.65</v>
      </c>
      <c r="V161" s="4"/>
    </row>
    <row r="162" spans="1:22" x14ac:dyDescent="0.25">
      <c r="A162">
        <v>100161</v>
      </c>
      <c r="B162" t="s">
        <v>18</v>
      </c>
      <c r="C162" t="str">
        <f t="shared" si="14"/>
        <v>HIS</v>
      </c>
      <c r="D162" t="str">
        <f t="shared" si="15"/>
        <v>035</v>
      </c>
      <c r="E162" t="str">
        <f t="shared" si="16"/>
        <v>HIS-035</v>
      </c>
      <c r="F162" t="s">
        <v>22</v>
      </c>
      <c r="G162" t="s">
        <v>29</v>
      </c>
      <c r="H162" t="s">
        <v>16</v>
      </c>
      <c r="I162">
        <f t="shared" si="17"/>
        <v>18</v>
      </c>
      <c r="J162" t="s">
        <v>203</v>
      </c>
      <c r="K162">
        <v>2</v>
      </c>
      <c r="L162" t="str">
        <f t="shared" si="18"/>
        <v>Standard Order</v>
      </c>
      <c r="M162" t="str" cm="1">
        <f t="array" ref="M162">_xlfn.IFS(K162&gt;=25,"Bulk",K162&gt;=10,"Large",K162&lt;10,"Standard")</f>
        <v>Standard</v>
      </c>
      <c r="N162" s="2">
        <v>13.57</v>
      </c>
      <c r="O162" s="2">
        <f t="shared" si="19"/>
        <v>27.14</v>
      </c>
      <c r="P162" s="3">
        <v>46279</v>
      </c>
      <c r="Q162" s="5"/>
      <c r="R162" s="5" t="str">
        <f t="shared" si="20"/>
        <v>No Discount</v>
      </c>
      <c r="T162" s="4"/>
      <c r="U162" s="7">
        <f>O162*(1-T162)</f>
        <v>27.14</v>
      </c>
      <c r="V162" s="4"/>
    </row>
    <row r="163" spans="1:22" x14ac:dyDescent="0.25">
      <c r="A163">
        <v>100162</v>
      </c>
      <c r="B163" t="s">
        <v>79</v>
      </c>
      <c r="C163" t="str">
        <f t="shared" si="14"/>
        <v>THR</v>
      </c>
      <c r="D163" t="str">
        <f t="shared" si="15"/>
        <v>075</v>
      </c>
      <c r="E163" t="str">
        <f t="shared" si="16"/>
        <v>THR-075</v>
      </c>
      <c r="F163" t="s">
        <v>122</v>
      </c>
      <c r="G163" t="s">
        <v>29</v>
      </c>
      <c r="H163" t="s">
        <v>33</v>
      </c>
      <c r="I163">
        <f t="shared" si="17"/>
        <v>8</v>
      </c>
      <c r="J163" t="s">
        <v>203</v>
      </c>
      <c r="K163">
        <v>1</v>
      </c>
      <c r="L163" t="str">
        <f t="shared" si="18"/>
        <v>Standard Order</v>
      </c>
      <c r="M163" t="str" cm="1">
        <f t="array" ref="M163">_xlfn.IFS(K163&gt;=25,"Bulk",K163&gt;=10,"Large",K163&lt;10,"Standard")</f>
        <v>Standard</v>
      </c>
      <c r="N163" s="2">
        <v>30.65</v>
      </c>
      <c r="O163" s="2">
        <f t="shared" si="19"/>
        <v>30.65</v>
      </c>
      <c r="P163" s="3">
        <v>46279</v>
      </c>
      <c r="Q163" s="5"/>
      <c r="R163" s="5" t="str">
        <f t="shared" si="20"/>
        <v>Discount</v>
      </c>
      <c r="S163" t="s">
        <v>68</v>
      </c>
      <c r="T163" s="4">
        <v>0.1</v>
      </c>
      <c r="U163" s="7">
        <f>O163*(1-T163)</f>
        <v>27.585000000000001</v>
      </c>
      <c r="V163" s="4"/>
    </row>
    <row r="164" spans="1:22" x14ac:dyDescent="0.25">
      <c r="A164">
        <v>100163</v>
      </c>
      <c r="B164" t="s">
        <v>121</v>
      </c>
      <c r="C164" t="str">
        <f t="shared" si="14"/>
        <v>HOR</v>
      </c>
      <c r="D164" t="str">
        <f t="shared" si="15"/>
        <v>073</v>
      </c>
      <c r="E164" t="str">
        <f t="shared" si="16"/>
        <v>HOR-073</v>
      </c>
      <c r="F164" t="s">
        <v>92</v>
      </c>
      <c r="G164" t="s">
        <v>29</v>
      </c>
      <c r="H164" t="s">
        <v>27</v>
      </c>
      <c r="I164">
        <f t="shared" si="17"/>
        <v>6</v>
      </c>
      <c r="J164" t="s">
        <v>203</v>
      </c>
      <c r="K164">
        <v>1</v>
      </c>
      <c r="L164" t="str">
        <f t="shared" si="18"/>
        <v>Standard Order</v>
      </c>
      <c r="M164" t="str" cm="1">
        <f t="array" ref="M164">_xlfn.IFS(K164&gt;=25,"Bulk",K164&gt;=10,"Large",K164&lt;10,"Standard")</f>
        <v>Standard</v>
      </c>
      <c r="N164" s="2">
        <v>33.82</v>
      </c>
      <c r="O164" s="2">
        <f t="shared" si="19"/>
        <v>33.82</v>
      </c>
      <c r="P164" s="3">
        <v>46280</v>
      </c>
      <c r="Q164" s="5"/>
      <c r="R164" s="5" t="str">
        <f t="shared" si="20"/>
        <v>No Discount</v>
      </c>
      <c r="T164" s="4"/>
      <c r="U164" s="7">
        <f>O164*(1-T164)</f>
        <v>33.82</v>
      </c>
      <c r="V164" s="4"/>
    </row>
    <row r="165" spans="1:22" x14ac:dyDescent="0.25">
      <c r="A165">
        <v>100164</v>
      </c>
      <c r="B165" t="s">
        <v>47</v>
      </c>
      <c r="C165" t="str">
        <f t="shared" si="14"/>
        <v>HIS</v>
      </c>
      <c r="D165" t="str">
        <f t="shared" si="15"/>
        <v>061</v>
      </c>
      <c r="E165" t="str">
        <f t="shared" si="16"/>
        <v>HIS-061</v>
      </c>
      <c r="F165" t="s">
        <v>77</v>
      </c>
      <c r="G165" t="s">
        <v>15</v>
      </c>
      <c r="H165" t="s">
        <v>16</v>
      </c>
      <c r="I165">
        <f t="shared" si="17"/>
        <v>18</v>
      </c>
      <c r="J165" t="s">
        <v>203</v>
      </c>
      <c r="K165">
        <v>9</v>
      </c>
      <c r="L165" t="str">
        <f t="shared" si="18"/>
        <v>Standard Order</v>
      </c>
      <c r="M165" t="str" cm="1">
        <f t="array" ref="M165">_xlfn.IFS(K165&gt;=25,"Bulk",K165&gt;=10,"Large",K165&lt;10,"Standard")</f>
        <v>Standard</v>
      </c>
      <c r="N165" s="2">
        <v>34.979999999999997</v>
      </c>
      <c r="O165" s="2">
        <f t="shared" si="19"/>
        <v>314.82</v>
      </c>
      <c r="P165" s="3">
        <v>46280</v>
      </c>
      <c r="Q165" s="5"/>
      <c r="R165" s="5" t="str">
        <f t="shared" si="20"/>
        <v>Discount</v>
      </c>
      <c r="S165" t="s">
        <v>125</v>
      </c>
      <c r="T165" s="4">
        <v>0.1</v>
      </c>
      <c r="U165" s="7">
        <f>O165*(1-T165)</f>
        <v>283.33800000000002</v>
      </c>
      <c r="V165" s="4"/>
    </row>
    <row r="166" spans="1:22" x14ac:dyDescent="0.25">
      <c r="A166">
        <v>100165</v>
      </c>
      <c r="B166" t="s">
        <v>9</v>
      </c>
      <c r="C166" t="str">
        <f t="shared" si="14"/>
        <v>FAN</v>
      </c>
      <c r="D166" t="str">
        <f t="shared" si="15"/>
        <v>068</v>
      </c>
      <c r="E166" t="str">
        <f t="shared" si="16"/>
        <v>FAN-068</v>
      </c>
      <c r="F166" t="s">
        <v>146</v>
      </c>
      <c r="G166" t="s">
        <v>49</v>
      </c>
      <c r="H166" t="s">
        <v>12</v>
      </c>
      <c r="I166">
        <f t="shared" si="17"/>
        <v>7</v>
      </c>
      <c r="J166" t="s">
        <v>203</v>
      </c>
      <c r="K166">
        <v>23</v>
      </c>
      <c r="L166" t="str">
        <f t="shared" si="18"/>
        <v>Large Order</v>
      </c>
      <c r="M166" t="str" cm="1">
        <f t="array" ref="M166">_xlfn.IFS(K166&gt;=25,"Bulk",K166&gt;=10,"Large",K166&lt;10,"Standard")</f>
        <v>Large</v>
      </c>
      <c r="N166" s="2">
        <v>14.05</v>
      </c>
      <c r="O166" s="2">
        <f t="shared" si="19"/>
        <v>323.15000000000003</v>
      </c>
      <c r="P166" s="3">
        <v>46281</v>
      </c>
      <c r="Q166" s="5"/>
      <c r="R166" s="5" t="str">
        <f t="shared" si="20"/>
        <v>No Discount</v>
      </c>
      <c r="T166" s="4"/>
      <c r="U166" s="7">
        <f>O166*(1-T166)</f>
        <v>323.15000000000003</v>
      </c>
      <c r="V166" s="4"/>
    </row>
    <row r="167" spans="1:22" x14ac:dyDescent="0.25">
      <c r="A167">
        <v>100166</v>
      </c>
      <c r="B167" t="s">
        <v>104</v>
      </c>
      <c r="C167" t="str">
        <f t="shared" si="14"/>
        <v>THR</v>
      </c>
      <c r="D167" t="str">
        <f t="shared" si="15"/>
        <v>062</v>
      </c>
      <c r="E167" t="str">
        <f t="shared" si="16"/>
        <v>THR-062</v>
      </c>
      <c r="F167" t="s">
        <v>39</v>
      </c>
      <c r="G167" t="s">
        <v>29</v>
      </c>
      <c r="H167" t="s">
        <v>33</v>
      </c>
      <c r="I167">
        <f t="shared" si="17"/>
        <v>8</v>
      </c>
      <c r="J167" t="s">
        <v>203</v>
      </c>
      <c r="K167">
        <v>3</v>
      </c>
      <c r="L167" t="str">
        <f t="shared" si="18"/>
        <v>Standard Order</v>
      </c>
      <c r="M167" t="str" cm="1">
        <f t="array" ref="M167">_xlfn.IFS(K167&gt;=25,"Bulk",K167&gt;=10,"Large",K167&lt;10,"Standard")</f>
        <v>Standard</v>
      </c>
      <c r="N167" s="2">
        <v>11.67</v>
      </c>
      <c r="O167" s="2">
        <f t="shared" si="19"/>
        <v>35.01</v>
      </c>
      <c r="P167" s="3">
        <v>46282</v>
      </c>
      <c r="Q167" s="5"/>
      <c r="R167" s="5" t="str">
        <f t="shared" si="20"/>
        <v>No Discount</v>
      </c>
      <c r="T167" s="4"/>
      <c r="U167" s="7">
        <f>O167*(1-T167)</f>
        <v>35.01</v>
      </c>
      <c r="V167" s="4"/>
    </row>
    <row r="168" spans="1:22" x14ac:dyDescent="0.25">
      <c r="A168">
        <v>100167</v>
      </c>
      <c r="B168" t="s">
        <v>75</v>
      </c>
      <c r="C168" t="str">
        <f t="shared" si="14"/>
        <v>SCI</v>
      </c>
      <c r="D168" t="str">
        <f t="shared" si="15"/>
        <v>056</v>
      </c>
      <c r="E168" t="str">
        <f t="shared" si="16"/>
        <v>SCI-056</v>
      </c>
      <c r="F168" t="s">
        <v>138</v>
      </c>
      <c r="G168" t="s">
        <v>49</v>
      </c>
      <c r="H168" t="s">
        <v>23</v>
      </c>
      <c r="I168">
        <f t="shared" si="17"/>
        <v>15</v>
      </c>
      <c r="J168" t="s">
        <v>203</v>
      </c>
      <c r="K168">
        <v>9</v>
      </c>
      <c r="L168" t="str">
        <f t="shared" si="18"/>
        <v>Standard Order</v>
      </c>
      <c r="M168" t="str" cm="1">
        <f t="array" ref="M168">_xlfn.IFS(K168&gt;=25,"Bulk",K168&gt;=10,"Large",K168&lt;10,"Standard")</f>
        <v>Standard</v>
      </c>
      <c r="N168" s="2">
        <v>19.11</v>
      </c>
      <c r="O168" s="2">
        <f t="shared" si="19"/>
        <v>171.99</v>
      </c>
      <c r="P168" s="3">
        <v>46282</v>
      </c>
      <c r="Q168" s="5"/>
      <c r="R168" s="5" t="str">
        <f t="shared" si="20"/>
        <v>No Discount</v>
      </c>
      <c r="T168" s="4"/>
      <c r="U168" s="7">
        <f>O168*(1-T168)</f>
        <v>171.99</v>
      </c>
      <c r="V168" s="4"/>
    </row>
    <row r="169" spans="1:22" x14ac:dyDescent="0.25">
      <c r="A169">
        <v>100168</v>
      </c>
      <c r="B169" t="s">
        <v>117</v>
      </c>
      <c r="C169" t="str">
        <f t="shared" si="14"/>
        <v>ROM</v>
      </c>
      <c r="D169" t="str">
        <f t="shared" si="15"/>
        <v>054</v>
      </c>
      <c r="E169" t="str">
        <f t="shared" si="16"/>
        <v>ROM-054</v>
      </c>
      <c r="F169" t="s">
        <v>10</v>
      </c>
      <c r="G169" t="s">
        <v>29</v>
      </c>
      <c r="H169" t="s">
        <v>37</v>
      </c>
      <c r="I169">
        <f t="shared" si="17"/>
        <v>7</v>
      </c>
      <c r="J169" t="s">
        <v>203</v>
      </c>
      <c r="K169">
        <v>1</v>
      </c>
      <c r="L169" t="str">
        <f t="shared" si="18"/>
        <v>Standard Order</v>
      </c>
      <c r="M169" t="str" cm="1">
        <f t="array" ref="M169">_xlfn.IFS(K169&gt;=25,"Bulk",K169&gt;=10,"Large",K169&lt;10,"Standard")</f>
        <v>Standard</v>
      </c>
      <c r="N169" s="2">
        <v>18.149999999999999</v>
      </c>
      <c r="O169" s="2">
        <f t="shared" si="19"/>
        <v>18.149999999999999</v>
      </c>
      <c r="P169" s="3">
        <v>46283</v>
      </c>
      <c r="Q169" s="5"/>
      <c r="R169" s="5" t="str">
        <f t="shared" si="20"/>
        <v>Discount</v>
      </c>
      <c r="S169" t="s">
        <v>125</v>
      </c>
      <c r="T169" s="4">
        <v>0.1</v>
      </c>
      <c r="U169" s="7">
        <f>O169*(1-T169)</f>
        <v>16.335000000000001</v>
      </c>
      <c r="V169" s="4"/>
    </row>
    <row r="170" spans="1:22" x14ac:dyDescent="0.25">
      <c r="A170">
        <v>100169</v>
      </c>
      <c r="B170" t="s">
        <v>45</v>
      </c>
      <c r="C170" t="str">
        <f t="shared" si="14"/>
        <v>SCI</v>
      </c>
      <c r="D170" t="str">
        <f t="shared" si="15"/>
        <v>069</v>
      </c>
      <c r="E170" t="str">
        <f t="shared" si="16"/>
        <v>SCI-069</v>
      </c>
      <c r="F170" t="s">
        <v>167</v>
      </c>
      <c r="G170" t="s">
        <v>15</v>
      </c>
      <c r="H170" t="s">
        <v>23</v>
      </c>
      <c r="I170">
        <f t="shared" si="17"/>
        <v>15</v>
      </c>
      <c r="J170" t="s">
        <v>203</v>
      </c>
      <c r="K170">
        <v>5</v>
      </c>
      <c r="L170" t="str">
        <f t="shared" si="18"/>
        <v>Standard Order</v>
      </c>
      <c r="M170" t="str" cm="1">
        <f t="array" ref="M170">_xlfn.IFS(K170&gt;=25,"Bulk",K170&gt;=10,"Large",K170&lt;10,"Standard")</f>
        <v>Standard</v>
      </c>
      <c r="N170" s="2">
        <v>12.62</v>
      </c>
      <c r="O170" s="2">
        <f t="shared" si="19"/>
        <v>63.099999999999994</v>
      </c>
      <c r="P170" s="3">
        <v>46284</v>
      </c>
      <c r="Q170" s="5"/>
      <c r="R170" s="5" t="str">
        <f t="shared" si="20"/>
        <v>Discount</v>
      </c>
      <c r="S170" t="s">
        <v>68</v>
      </c>
      <c r="T170" s="4">
        <v>0.1</v>
      </c>
      <c r="U170" s="7">
        <f>O170*(1-T170)</f>
        <v>56.79</v>
      </c>
      <c r="V170" s="4"/>
    </row>
    <row r="171" spans="1:22" x14ac:dyDescent="0.25">
      <c r="A171">
        <v>100170</v>
      </c>
      <c r="B171" t="s">
        <v>170</v>
      </c>
      <c r="C171" t="str">
        <f t="shared" si="14"/>
        <v>THR</v>
      </c>
      <c r="D171" t="str">
        <f t="shared" si="15"/>
        <v>010</v>
      </c>
      <c r="E171" t="str">
        <f t="shared" si="16"/>
        <v>THR-010</v>
      </c>
      <c r="F171" t="s">
        <v>110</v>
      </c>
      <c r="G171" t="s">
        <v>15</v>
      </c>
      <c r="H171" t="s">
        <v>33</v>
      </c>
      <c r="I171">
        <f t="shared" si="17"/>
        <v>8</v>
      </c>
      <c r="J171" t="s">
        <v>203</v>
      </c>
      <c r="K171">
        <v>4</v>
      </c>
      <c r="L171" t="str">
        <f t="shared" si="18"/>
        <v>Standard Order</v>
      </c>
      <c r="M171" t="str" cm="1">
        <f t="array" ref="M171">_xlfn.IFS(K171&gt;=25,"Bulk",K171&gt;=10,"Large",K171&lt;10,"Standard")</f>
        <v>Standard</v>
      </c>
      <c r="N171" s="2">
        <v>29.64</v>
      </c>
      <c r="O171" s="2">
        <f t="shared" si="19"/>
        <v>118.56</v>
      </c>
      <c r="P171" s="3">
        <v>46284</v>
      </c>
      <c r="Q171" s="5"/>
      <c r="R171" s="5" t="str">
        <f t="shared" si="20"/>
        <v>No Discount</v>
      </c>
      <c r="T171" s="4"/>
      <c r="U171" s="7">
        <f>O171*(1-T171)</f>
        <v>118.56</v>
      </c>
      <c r="V171" s="4"/>
    </row>
    <row r="172" spans="1:22" x14ac:dyDescent="0.25">
      <c r="A172">
        <v>100171</v>
      </c>
      <c r="B172" t="s">
        <v>25</v>
      </c>
      <c r="C172" t="str">
        <f t="shared" si="14"/>
        <v>HOR</v>
      </c>
      <c r="D172" t="str">
        <f t="shared" si="15"/>
        <v>060</v>
      </c>
      <c r="E172" t="str">
        <f t="shared" si="16"/>
        <v>HOR-060</v>
      </c>
      <c r="F172" t="s">
        <v>146</v>
      </c>
      <c r="G172" t="s">
        <v>49</v>
      </c>
      <c r="H172" t="s">
        <v>27</v>
      </c>
      <c r="I172">
        <f t="shared" si="17"/>
        <v>6</v>
      </c>
      <c r="J172" t="s">
        <v>203</v>
      </c>
      <c r="K172">
        <v>20</v>
      </c>
      <c r="L172" t="str">
        <f t="shared" si="18"/>
        <v>Large Order</v>
      </c>
      <c r="M172" t="str" cm="1">
        <f t="array" ref="M172">_xlfn.IFS(K172&gt;=25,"Bulk",K172&gt;=10,"Large",K172&lt;10,"Standard")</f>
        <v>Large</v>
      </c>
      <c r="N172" s="2">
        <v>20.97</v>
      </c>
      <c r="O172" s="2">
        <f t="shared" si="19"/>
        <v>419.4</v>
      </c>
      <c r="P172" s="3">
        <v>46285</v>
      </c>
      <c r="Q172" s="5"/>
      <c r="R172" s="5" t="str">
        <f t="shared" si="20"/>
        <v>Discount</v>
      </c>
      <c r="S172" t="s">
        <v>125</v>
      </c>
      <c r="T172" s="4">
        <v>0.1</v>
      </c>
      <c r="U172" s="7">
        <f>O172*(1-T172)</f>
        <v>377.46</v>
      </c>
      <c r="V172" s="4"/>
    </row>
    <row r="173" spans="1:22" x14ac:dyDescent="0.25">
      <c r="A173">
        <v>100172</v>
      </c>
      <c r="B173" t="s">
        <v>171</v>
      </c>
      <c r="C173" t="str">
        <f t="shared" si="14"/>
        <v>SLF</v>
      </c>
      <c r="D173" t="str">
        <f t="shared" si="15"/>
        <v>012</v>
      </c>
      <c r="E173" t="str">
        <f t="shared" si="16"/>
        <v>SLF-012</v>
      </c>
      <c r="F173" t="s">
        <v>167</v>
      </c>
      <c r="G173" t="s">
        <v>15</v>
      </c>
      <c r="H173" t="s">
        <v>61</v>
      </c>
      <c r="I173">
        <f t="shared" si="17"/>
        <v>9</v>
      </c>
      <c r="J173" t="s">
        <v>59</v>
      </c>
      <c r="K173">
        <v>6</v>
      </c>
      <c r="L173" t="str">
        <f t="shared" si="18"/>
        <v>Standard Order</v>
      </c>
      <c r="M173" t="str" cm="1">
        <f t="array" ref="M173">_xlfn.IFS(K173&gt;=25,"Bulk",K173&gt;=10,"Large",K173&lt;10,"Standard")</f>
        <v>Standard</v>
      </c>
      <c r="N173" s="2">
        <v>25.3</v>
      </c>
      <c r="O173" s="2">
        <f t="shared" si="19"/>
        <v>151.80000000000001</v>
      </c>
      <c r="P173" s="3">
        <v>46286</v>
      </c>
      <c r="Q173" s="5"/>
      <c r="R173" s="5" t="str">
        <f t="shared" si="20"/>
        <v>No Discount</v>
      </c>
      <c r="T173" s="4"/>
      <c r="U173" s="7">
        <f>O173*(1-T173)</f>
        <v>151.80000000000001</v>
      </c>
      <c r="V173" s="4"/>
    </row>
    <row r="174" spans="1:22" x14ac:dyDescent="0.25">
      <c r="A174">
        <v>100173</v>
      </c>
      <c r="B174" t="s">
        <v>172</v>
      </c>
      <c r="C174" t="str">
        <f t="shared" si="14"/>
        <v>GRN</v>
      </c>
      <c r="D174" t="str">
        <f t="shared" si="15"/>
        <v>013</v>
      </c>
      <c r="E174" t="str">
        <f t="shared" si="16"/>
        <v>GRN-013</v>
      </c>
      <c r="F174" t="s">
        <v>113</v>
      </c>
      <c r="G174" t="s">
        <v>42</v>
      </c>
      <c r="H174" t="s">
        <v>40</v>
      </c>
      <c r="I174">
        <f t="shared" si="17"/>
        <v>13</v>
      </c>
      <c r="J174" t="s">
        <v>203</v>
      </c>
      <c r="K174">
        <v>2</v>
      </c>
      <c r="L174" t="str">
        <f t="shared" si="18"/>
        <v>Standard Order</v>
      </c>
      <c r="M174" t="str" cm="1">
        <f t="array" ref="M174">_xlfn.IFS(K174&gt;=25,"Bulk",K174&gt;=10,"Large",K174&lt;10,"Standard")</f>
        <v>Standard</v>
      </c>
      <c r="N174" s="2">
        <v>22.12</v>
      </c>
      <c r="O174" s="2">
        <f t="shared" si="19"/>
        <v>44.24</v>
      </c>
      <c r="P174" s="3">
        <v>46286</v>
      </c>
      <c r="Q174" s="5"/>
      <c r="R174" s="5" t="str">
        <f t="shared" si="20"/>
        <v>No Discount</v>
      </c>
      <c r="T174" s="4"/>
      <c r="U174" s="7">
        <f>O174*(1-T174)</f>
        <v>44.24</v>
      </c>
      <c r="V174" s="4"/>
    </row>
    <row r="175" spans="1:22" x14ac:dyDescent="0.25">
      <c r="A175">
        <v>100174</v>
      </c>
      <c r="B175" t="s">
        <v>126</v>
      </c>
      <c r="C175" t="str">
        <f t="shared" si="14"/>
        <v>HOR</v>
      </c>
      <c r="D175" t="str">
        <f t="shared" si="15"/>
        <v>047</v>
      </c>
      <c r="E175" t="str">
        <f t="shared" si="16"/>
        <v>HOR-047</v>
      </c>
      <c r="F175" t="s">
        <v>65</v>
      </c>
      <c r="G175" t="s">
        <v>29</v>
      </c>
      <c r="H175" t="s">
        <v>27</v>
      </c>
      <c r="I175">
        <f t="shared" si="17"/>
        <v>6</v>
      </c>
      <c r="J175" t="s">
        <v>203</v>
      </c>
      <c r="K175">
        <v>2</v>
      </c>
      <c r="L175" t="str">
        <f t="shared" si="18"/>
        <v>Standard Order</v>
      </c>
      <c r="M175" t="str" cm="1">
        <f t="array" ref="M175">_xlfn.IFS(K175&gt;=25,"Bulk",K175&gt;=10,"Large",K175&lt;10,"Standard")</f>
        <v>Standard</v>
      </c>
      <c r="N175" s="2">
        <v>28.82</v>
      </c>
      <c r="O175" s="2">
        <f t="shared" si="19"/>
        <v>57.64</v>
      </c>
      <c r="P175" s="3">
        <v>46287</v>
      </c>
      <c r="Q175" s="5"/>
      <c r="R175" s="5" t="str">
        <f t="shared" si="20"/>
        <v>No Discount</v>
      </c>
      <c r="T175" s="4"/>
      <c r="U175" s="7">
        <f>O175*(1-T175)</f>
        <v>57.64</v>
      </c>
      <c r="V175" s="4"/>
    </row>
    <row r="176" spans="1:22" x14ac:dyDescent="0.25">
      <c r="A176">
        <v>100175</v>
      </c>
      <c r="B176" t="s">
        <v>128</v>
      </c>
      <c r="C176" t="str">
        <f t="shared" si="14"/>
        <v>HIS</v>
      </c>
      <c r="D176" t="str">
        <f t="shared" si="15"/>
        <v>048</v>
      </c>
      <c r="E176" t="str">
        <f t="shared" si="16"/>
        <v>HIS-048</v>
      </c>
      <c r="F176" t="s">
        <v>155</v>
      </c>
      <c r="G176" t="s">
        <v>49</v>
      </c>
      <c r="H176" t="s">
        <v>16</v>
      </c>
      <c r="I176">
        <f t="shared" si="17"/>
        <v>18</v>
      </c>
      <c r="J176" t="s">
        <v>203</v>
      </c>
      <c r="K176">
        <v>11</v>
      </c>
      <c r="L176" t="str">
        <f t="shared" si="18"/>
        <v>Large Order</v>
      </c>
      <c r="M176" t="str" cm="1">
        <f t="array" ref="M176">_xlfn.IFS(K176&gt;=25,"Bulk",K176&gt;=10,"Large",K176&lt;10,"Standard")</f>
        <v>Large</v>
      </c>
      <c r="N176" s="2">
        <v>30.49</v>
      </c>
      <c r="O176" s="2">
        <f t="shared" si="19"/>
        <v>335.39</v>
      </c>
      <c r="P176" s="3">
        <v>46288</v>
      </c>
      <c r="Q176" s="5"/>
      <c r="R176" s="5" t="str">
        <f t="shared" si="20"/>
        <v>No Discount</v>
      </c>
      <c r="T176" s="4"/>
      <c r="U176" s="7">
        <f>O176*(1-T176)</f>
        <v>335.39</v>
      </c>
      <c r="V176" s="4"/>
    </row>
    <row r="177" spans="1:23" x14ac:dyDescent="0.25">
      <c r="A177">
        <v>100176</v>
      </c>
      <c r="B177" t="s">
        <v>139</v>
      </c>
      <c r="C177" t="str">
        <f t="shared" si="14"/>
        <v>BIO</v>
      </c>
      <c r="D177" t="str">
        <f t="shared" si="15"/>
        <v>032</v>
      </c>
      <c r="E177" t="str">
        <f t="shared" si="16"/>
        <v>BIO-032</v>
      </c>
      <c r="F177" t="s">
        <v>173</v>
      </c>
      <c r="G177" t="s">
        <v>49</v>
      </c>
      <c r="H177" t="s">
        <v>52</v>
      </c>
      <c r="I177">
        <f t="shared" si="17"/>
        <v>9</v>
      </c>
      <c r="J177" t="s">
        <v>59</v>
      </c>
      <c r="K177">
        <v>19</v>
      </c>
      <c r="L177" t="str">
        <f t="shared" si="18"/>
        <v>Large Order</v>
      </c>
      <c r="M177" t="str" cm="1">
        <f t="array" ref="M177">_xlfn.IFS(K177&gt;=25,"Bulk",K177&gt;=10,"Large",K177&lt;10,"Standard")</f>
        <v>Large</v>
      </c>
      <c r="N177" s="2">
        <v>29.99</v>
      </c>
      <c r="O177" s="2">
        <f t="shared" si="19"/>
        <v>569.80999999999995</v>
      </c>
      <c r="P177" s="3">
        <v>46288</v>
      </c>
      <c r="Q177" s="5"/>
      <c r="R177" s="5" t="str">
        <f t="shared" si="20"/>
        <v>No Discount</v>
      </c>
      <c r="T177" s="4"/>
      <c r="U177" s="7">
        <f>O177*(1-T177)</f>
        <v>569.80999999999995</v>
      </c>
      <c r="V177" s="4"/>
    </row>
    <row r="178" spans="1:23" x14ac:dyDescent="0.25">
      <c r="A178">
        <v>100177</v>
      </c>
      <c r="B178" t="s">
        <v>121</v>
      </c>
      <c r="C178" t="str">
        <f t="shared" si="14"/>
        <v>HOR</v>
      </c>
      <c r="D178" t="str">
        <f t="shared" si="15"/>
        <v>073</v>
      </c>
      <c r="E178" t="str">
        <f t="shared" si="16"/>
        <v>HOR-073</v>
      </c>
      <c r="F178" t="s">
        <v>144</v>
      </c>
      <c r="G178" t="s">
        <v>29</v>
      </c>
      <c r="H178" t="s">
        <v>27</v>
      </c>
      <c r="I178">
        <f t="shared" si="17"/>
        <v>6</v>
      </c>
      <c r="J178" t="s">
        <v>203</v>
      </c>
      <c r="K178">
        <v>7</v>
      </c>
      <c r="L178" t="str">
        <f t="shared" si="18"/>
        <v>Standard Order</v>
      </c>
      <c r="M178" t="str" cm="1">
        <f t="array" ref="M178">_xlfn.IFS(K178&gt;=25,"Bulk",K178&gt;=10,"Large",K178&lt;10,"Standard")</f>
        <v>Standard</v>
      </c>
      <c r="N178" s="2">
        <v>33.51</v>
      </c>
      <c r="O178" s="2">
        <f t="shared" si="19"/>
        <v>234.57</v>
      </c>
      <c r="P178" s="3">
        <v>46289</v>
      </c>
      <c r="Q178" s="5"/>
      <c r="R178" s="5" t="str">
        <f t="shared" si="20"/>
        <v>Discount</v>
      </c>
      <c r="S178" t="s">
        <v>68</v>
      </c>
      <c r="T178" s="4">
        <v>0.1</v>
      </c>
      <c r="U178" s="7">
        <f>O178*(1-T178)</f>
        <v>211.113</v>
      </c>
      <c r="V178" s="4"/>
    </row>
    <row r="179" spans="1:23" x14ac:dyDescent="0.25">
      <c r="A179">
        <v>100178</v>
      </c>
      <c r="B179" t="s">
        <v>84</v>
      </c>
      <c r="C179" t="str">
        <f t="shared" si="14"/>
        <v>MYS</v>
      </c>
      <c r="D179" t="str">
        <f t="shared" si="15"/>
        <v>040</v>
      </c>
      <c r="E179" t="str">
        <f t="shared" si="16"/>
        <v>MYS-040</v>
      </c>
      <c r="F179" t="s">
        <v>67</v>
      </c>
      <c r="G179" t="s">
        <v>49</v>
      </c>
      <c r="H179" t="s">
        <v>30</v>
      </c>
      <c r="I179">
        <f t="shared" si="17"/>
        <v>7</v>
      </c>
      <c r="J179" t="s">
        <v>203</v>
      </c>
      <c r="K179">
        <v>24</v>
      </c>
      <c r="L179" t="str">
        <f t="shared" si="18"/>
        <v>Large Order</v>
      </c>
      <c r="M179" t="str" cm="1">
        <f t="array" ref="M179">_xlfn.IFS(K179&gt;=25,"Bulk",K179&gt;=10,"Large",K179&lt;10,"Standard")</f>
        <v>Large</v>
      </c>
      <c r="N179" s="2">
        <v>30.2</v>
      </c>
      <c r="O179" s="2">
        <f t="shared" si="19"/>
        <v>724.8</v>
      </c>
      <c r="P179" s="3">
        <v>46290</v>
      </c>
      <c r="Q179" s="5"/>
      <c r="R179" s="5" t="str">
        <f t="shared" si="20"/>
        <v>No Discount</v>
      </c>
      <c r="T179" s="4"/>
      <c r="U179" s="7">
        <f>O179*(1-T179)</f>
        <v>724.8</v>
      </c>
      <c r="V179" s="4"/>
    </row>
    <row r="180" spans="1:23" x14ac:dyDescent="0.25">
      <c r="A180">
        <v>100179</v>
      </c>
      <c r="B180" t="s">
        <v>104</v>
      </c>
      <c r="C180" t="str">
        <f t="shared" si="14"/>
        <v>THR</v>
      </c>
      <c r="D180" t="str">
        <f t="shared" si="15"/>
        <v>062</v>
      </c>
      <c r="E180" t="str">
        <f t="shared" si="16"/>
        <v>THR-062</v>
      </c>
      <c r="F180" t="s">
        <v>26</v>
      </c>
      <c r="G180" t="s">
        <v>29</v>
      </c>
      <c r="H180" t="s">
        <v>33</v>
      </c>
      <c r="I180">
        <f t="shared" si="17"/>
        <v>8</v>
      </c>
      <c r="J180" t="s">
        <v>203</v>
      </c>
      <c r="K180">
        <v>1</v>
      </c>
      <c r="L180" t="str">
        <f t="shared" si="18"/>
        <v>Standard Order</v>
      </c>
      <c r="M180" t="str" cm="1">
        <f t="array" ref="M180">_xlfn.IFS(K180&gt;=25,"Bulk",K180&gt;=10,"Large",K180&lt;10,"Standard")</f>
        <v>Standard</v>
      </c>
      <c r="N180" s="2">
        <v>13.58</v>
      </c>
      <c r="O180" s="2">
        <f t="shared" si="19"/>
        <v>13.58</v>
      </c>
      <c r="P180" s="3">
        <v>46290</v>
      </c>
      <c r="Q180" s="5"/>
      <c r="R180" s="5" t="str">
        <f t="shared" si="20"/>
        <v>No Discount</v>
      </c>
      <c r="T180" s="4"/>
      <c r="U180" s="7">
        <f>O180*(1-T180)</f>
        <v>13.58</v>
      </c>
      <c r="V180" s="4"/>
    </row>
    <row r="181" spans="1:23" x14ac:dyDescent="0.25">
      <c r="A181">
        <v>100180</v>
      </c>
      <c r="B181" t="s">
        <v>104</v>
      </c>
      <c r="C181" t="str">
        <f t="shared" si="14"/>
        <v>THR</v>
      </c>
      <c r="D181" t="str">
        <f t="shared" si="15"/>
        <v>062</v>
      </c>
      <c r="E181" t="str">
        <f t="shared" si="16"/>
        <v>THR-062</v>
      </c>
      <c r="F181" t="s">
        <v>166</v>
      </c>
      <c r="G181" t="s">
        <v>29</v>
      </c>
      <c r="H181" t="s">
        <v>33</v>
      </c>
      <c r="I181">
        <f t="shared" si="17"/>
        <v>8</v>
      </c>
      <c r="J181" t="s">
        <v>203</v>
      </c>
      <c r="K181">
        <v>2</v>
      </c>
      <c r="L181" t="str">
        <f t="shared" si="18"/>
        <v>Standard Order</v>
      </c>
      <c r="M181" t="str" cm="1">
        <f t="array" ref="M181">_xlfn.IFS(K181&gt;=25,"Bulk",K181&gt;=10,"Large",K181&lt;10,"Standard")</f>
        <v>Standard</v>
      </c>
      <c r="N181" s="2">
        <v>25.47</v>
      </c>
      <c r="O181" s="2">
        <f t="shared" si="19"/>
        <v>50.94</v>
      </c>
      <c r="P181" s="3">
        <v>46291</v>
      </c>
      <c r="Q181" s="5"/>
      <c r="R181" s="5" t="str">
        <f t="shared" si="20"/>
        <v>No Discount</v>
      </c>
      <c r="T181" s="4"/>
      <c r="U181" s="7">
        <f>O181*(1-T181)</f>
        <v>50.94</v>
      </c>
      <c r="V181" s="4"/>
    </row>
    <row r="182" spans="1:23" x14ac:dyDescent="0.25">
      <c r="A182">
        <v>100181</v>
      </c>
      <c r="B182" t="s">
        <v>50</v>
      </c>
      <c r="C182" t="str">
        <f t="shared" si="14"/>
        <v>BIO</v>
      </c>
      <c r="D182" t="str">
        <f t="shared" si="15"/>
        <v>071</v>
      </c>
      <c r="E182" t="str">
        <f t="shared" si="16"/>
        <v>BIO-071</v>
      </c>
      <c r="F182" t="s">
        <v>174</v>
      </c>
      <c r="G182" t="s">
        <v>49</v>
      </c>
      <c r="H182" t="s">
        <v>52</v>
      </c>
      <c r="I182">
        <f t="shared" si="17"/>
        <v>9</v>
      </c>
      <c r="J182" t="s">
        <v>59</v>
      </c>
      <c r="K182">
        <v>21</v>
      </c>
      <c r="L182" t="str">
        <f t="shared" si="18"/>
        <v>Large Order</v>
      </c>
      <c r="M182" t="str" cm="1">
        <f t="array" ref="M182">_xlfn.IFS(K182&gt;=25,"Bulk",K182&gt;=10,"Large",K182&lt;10,"Standard")</f>
        <v>Large</v>
      </c>
      <c r="N182" s="2">
        <v>10.7</v>
      </c>
      <c r="O182" s="2">
        <f t="shared" si="19"/>
        <v>224.7</v>
      </c>
      <c r="P182" s="3">
        <v>46292</v>
      </c>
      <c r="Q182" s="5"/>
      <c r="R182" s="5" t="str">
        <f t="shared" si="20"/>
        <v>No Discount</v>
      </c>
      <c r="T182" s="4"/>
      <c r="U182" s="7">
        <f>O182*(1-T182)</f>
        <v>224.7</v>
      </c>
      <c r="V182" s="4"/>
    </row>
    <row r="183" spans="1:23" x14ac:dyDescent="0.25">
      <c r="A183">
        <v>100182</v>
      </c>
      <c r="B183" t="s">
        <v>76</v>
      </c>
      <c r="C183" t="str">
        <f t="shared" si="14"/>
        <v>NFC</v>
      </c>
      <c r="D183" t="str">
        <f t="shared" si="15"/>
        <v>057</v>
      </c>
      <c r="E183" t="str">
        <f t="shared" si="16"/>
        <v>NFC-057</v>
      </c>
      <c r="F183" t="s">
        <v>149</v>
      </c>
      <c r="G183" t="s">
        <v>42</v>
      </c>
      <c r="H183" t="s">
        <v>59</v>
      </c>
      <c r="I183">
        <f t="shared" si="17"/>
        <v>10</v>
      </c>
      <c r="J183" t="s">
        <v>59</v>
      </c>
      <c r="K183">
        <v>1</v>
      </c>
      <c r="L183" t="str">
        <f t="shared" si="18"/>
        <v>Standard Order</v>
      </c>
      <c r="M183" t="str" cm="1">
        <f t="array" ref="M183">_xlfn.IFS(K183&gt;=25,"Bulk",K183&gt;=10,"Large",K183&lt;10,"Standard")</f>
        <v>Standard</v>
      </c>
      <c r="N183" s="2">
        <v>11.45</v>
      </c>
      <c r="O183" s="2">
        <f t="shared" si="19"/>
        <v>11.45</v>
      </c>
      <c r="P183" s="3">
        <v>46292</v>
      </c>
      <c r="Q183" s="5"/>
      <c r="R183" s="5" t="str">
        <f t="shared" si="20"/>
        <v>No Discount</v>
      </c>
      <c r="T183" s="4"/>
      <c r="U183" s="7">
        <f>O183*(1-T183)</f>
        <v>11.45</v>
      </c>
      <c r="V183" s="4"/>
    </row>
    <row r="184" spans="1:23" x14ac:dyDescent="0.25">
      <c r="A184">
        <v>100183</v>
      </c>
      <c r="B184" t="s">
        <v>91</v>
      </c>
      <c r="C184" t="str">
        <f t="shared" si="14"/>
        <v>FAN</v>
      </c>
      <c r="D184" t="str">
        <f t="shared" si="15"/>
        <v>055</v>
      </c>
      <c r="E184" t="str">
        <f t="shared" si="16"/>
        <v>FAN-055</v>
      </c>
      <c r="F184" t="s">
        <v>120</v>
      </c>
      <c r="G184" t="s">
        <v>42</v>
      </c>
      <c r="H184" t="s">
        <v>12</v>
      </c>
      <c r="I184">
        <f t="shared" si="17"/>
        <v>7</v>
      </c>
      <c r="J184" t="s">
        <v>203</v>
      </c>
      <c r="K184">
        <v>3</v>
      </c>
      <c r="L184" t="str">
        <f t="shared" si="18"/>
        <v>Standard Order</v>
      </c>
      <c r="M184" t="str" cm="1">
        <f t="array" ref="M184">_xlfn.IFS(K184&gt;=25,"Bulk",K184&gt;=10,"Large",K184&lt;10,"Standard")</f>
        <v>Standard</v>
      </c>
      <c r="N184" s="2">
        <v>26.8</v>
      </c>
      <c r="O184" s="2">
        <f t="shared" si="19"/>
        <v>80.400000000000006</v>
      </c>
      <c r="P184" s="3">
        <v>46293</v>
      </c>
      <c r="Q184" s="5"/>
      <c r="R184" s="5" t="str">
        <f t="shared" si="20"/>
        <v>No Discount</v>
      </c>
      <c r="T184" s="4"/>
      <c r="U184" s="7">
        <f>O184*(1-T184)</f>
        <v>80.400000000000006</v>
      </c>
      <c r="V184" s="4"/>
    </row>
    <row r="185" spans="1:23" x14ac:dyDescent="0.25">
      <c r="A185">
        <v>100184</v>
      </c>
      <c r="B185" t="s">
        <v>175</v>
      </c>
      <c r="C185" t="str">
        <f t="shared" si="14"/>
        <v>HIS</v>
      </c>
      <c r="D185" t="str">
        <f t="shared" si="15"/>
        <v>009</v>
      </c>
      <c r="E185" t="str">
        <f t="shared" si="16"/>
        <v>HIS-009</v>
      </c>
      <c r="F185" t="s">
        <v>160</v>
      </c>
      <c r="G185" t="s">
        <v>29</v>
      </c>
      <c r="H185" t="s">
        <v>16</v>
      </c>
      <c r="I185">
        <f t="shared" si="17"/>
        <v>18</v>
      </c>
      <c r="J185" t="s">
        <v>203</v>
      </c>
      <c r="K185">
        <v>1</v>
      </c>
      <c r="L185" t="str">
        <f t="shared" si="18"/>
        <v>Standard Order</v>
      </c>
      <c r="M185" t="str" cm="1">
        <f t="array" ref="M185">_xlfn.IFS(K185&gt;=25,"Bulk",K185&gt;=10,"Large",K185&lt;10,"Standard")</f>
        <v>Standard</v>
      </c>
      <c r="N185" s="2">
        <v>21.32</v>
      </c>
      <c r="O185" s="2">
        <f t="shared" si="19"/>
        <v>21.32</v>
      </c>
      <c r="P185" s="3">
        <v>46294</v>
      </c>
      <c r="Q185" s="5"/>
      <c r="R185" s="5" t="str">
        <f t="shared" si="20"/>
        <v>No Discount</v>
      </c>
      <c r="T185" s="4"/>
      <c r="U185" s="7">
        <f>O185*(1-T185)</f>
        <v>21.32</v>
      </c>
      <c r="V185" s="4"/>
    </row>
    <row r="186" spans="1:23" x14ac:dyDescent="0.25">
      <c r="A186">
        <v>100185</v>
      </c>
      <c r="B186" t="s">
        <v>79</v>
      </c>
      <c r="C186" t="str">
        <f t="shared" si="14"/>
        <v>THR</v>
      </c>
      <c r="D186" t="str">
        <f t="shared" si="15"/>
        <v>075</v>
      </c>
      <c r="E186" t="str">
        <f t="shared" si="16"/>
        <v>THR-075</v>
      </c>
      <c r="F186" t="s">
        <v>173</v>
      </c>
      <c r="G186" t="s">
        <v>49</v>
      </c>
      <c r="H186" t="s">
        <v>33</v>
      </c>
      <c r="I186">
        <f t="shared" si="17"/>
        <v>8</v>
      </c>
      <c r="J186" t="s">
        <v>203</v>
      </c>
      <c r="K186">
        <v>24</v>
      </c>
      <c r="L186" t="str">
        <f t="shared" si="18"/>
        <v>Large Order</v>
      </c>
      <c r="M186" t="str" cm="1">
        <f t="array" ref="M186">_xlfn.IFS(K186&gt;=25,"Bulk",K186&gt;=10,"Large",K186&lt;10,"Standard")</f>
        <v>Large</v>
      </c>
      <c r="N186" s="2">
        <v>16.59</v>
      </c>
      <c r="O186" s="2">
        <f t="shared" si="19"/>
        <v>398.15999999999997</v>
      </c>
      <c r="P186" s="3">
        <v>46294</v>
      </c>
      <c r="Q186" s="5"/>
      <c r="R186" s="5" t="str">
        <f t="shared" si="20"/>
        <v>No Discount</v>
      </c>
      <c r="T186" s="4"/>
      <c r="U186" s="7">
        <f>O186*(1-T186)</f>
        <v>398.15999999999997</v>
      </c>
      <c r="V186" s="4"/>
    </row>
    <row r="187" spans="1:23" x14ac:dyDescent="0.25">
      <c r="A187">
        <v>100186</v>
      </c>
      <c r="B187" t="s">
        <v>9</v>
      </c>
      <c r="C187" t="str">
        <f t="shared" si="14"/>
        <v>FAN</v>
      </c>
      <c r="D187" t="str">
        <f t="shared" si="15"/>
        <v>068</v>
      </c>
      <c r="E187" t="str">
        <f t="shared" si="16"/>
        <v>FAN-068</v>
      </c>
      <c r="F187" t="s">
        <v>90</v>
      </c>
      <c r="G187" t="s">
        <v>29</v>
      </c>
      <c r="H187" t="s">
        <v>12</v>
      </c>
      <c r="I187">
        <f t="shared" si="17"/>
        <v>7</v>
      </c>
      <c r="J187" t="s">
        <v>203</v>
      </c>
      <c r="K187">
        <v>1</v>
      </c>
      <c r="L187" t="str">
        <f t="shared" si="18"/>
        <v>Standard Order</v>
      </c>
      <c r="M187" t="str" cm="1">
        <f t="array" ref="M187">_xlfn.IFS(K187&gt;=25,"Bulk",K187&gt;=10,"Large",K187&lt;10,"Standard")</f>
        <v>Standard</v>
      </c>
      <c r="N187" s="2">
        <v>14.27</v>
      </c>
      <c r="O187" s="2">
        <f t="shared" si="19"/>
        <v>14.27</v>
      </c>
      <c r="P187" s="3">
        <v>46295</v>
      </c>
      <c r="Q187" s="5"/>
      <c r="R187" s="5" t="str">
        <f t="shared" si="20"/>
        <v>No Discount</v>
      </c>
      <c r="T187" s="4"/>
      <c r="U187" s="7">
        <f>O187*(1-T187)</f>
        <v>14.27</v>
      </c>
      <c r="V187" s="4"/>
    </row>
    <row r="188" spans="1:23" x14ac:dyDescent="0.25">
      <c r="A188">
        <v>100187</v>
      </c>
      <c r="B188" t="s">
        <v>176</v>
      </c>
      <c r="C188" t="str">
        <f t="shared" si="14"/>
        <v>ROM</v>
      </c>
      <c r="D188" t="str">
        <f t="shared" si="15"/>
        <v>028</v>
      </c>
      <c r="E188" t="str">
        <f t="shared" si="16"/>
        <v>ROM-028</v>
      </c>
      <c r="F188" t="s">
        <v>44</v>
      </c>
      <c r="G188" t="s">
        <v>29</v>
      </c>
      <c r="H188" t="s">
        <v>37</v>
      </c>
      <c r="I188">
        <f t="shared" si="17"/>
        <v>7</v>
      </c>
      <c r="J188" t="s">
        <v>203</v>
      </c>
      <c r="K188">
        <v>1</v>
      </c>
      <c r="L188" t="str">
        <f t="shared" si="18"/>
        <v>Standard Order</v>
      </c>
      <c r="M188" t="str" cm="1">
        <f t="array" ref="M188">_xlfn.IFS(K188&gt;=25,"Bulk",K188&gt;=10,"Large",K188&lt;10,"Standard")</f>
        <v>Standard</v>
      </c>
      <c r="N188" s="2">
        <v>32.450000000000003</v>
      </c>
      <c r="O188" s="2">
        <f t="shared" si="19"/>
        <v>32.450000000000003</v>
      </c>
      <c r="P188" s="3">
        <v>46296</v>
      </c>
      <c r="Q188" s="5"/>
      <c r="R188" s="5" t="str">
        <f t="shared" si="20"/>
        <v>No Discount</v>
      </c>
      <c r="T188" s="4"/>
      <c r="U188" s="7">
        <f>O188*(1-T188)</f>
        <v>32.450000000000003</v>
      </c>
      <c r="V188" s="4"/>
    </row>
    <row r="189" spans="1:23" x14ac:dyDescent="0.25">
      <c r="A189">
        <v>100188</v>
      </c>
      <c r="B189" t="s">
        <v>86</v>
      </c>
      <c r="C189" t="str">
        <f t="shared" si="14"/>
        <v>GRN</v>
      </c>
      <c r="D189" t="str">
        <f t="shared" si="15"/>
        <v>052</v>
      </c>
      <c r="E189" t="str">
        <f t="shared" si="16"/>
        <v>GRN-052</v>
      </c>
      <c r="F189" t="s">
        <v>173</v>
      </c>
      <c r="G189" t="s">
        <v>49</v>
      </c>
      <c r="H189" t="s">
        <v>40</v>
      </c>
      <c r="I189">
        <f t="shared" si="17"/>
        <v>13</v>
      </c>
      <c r="J189" t="s">
        <v>203</v>
      </c>
      <c r="K189">
        <v>62</v>
      </c>
      <c r="L189" t="str">
        <f t="shared" si="18"/>
        <v>Large Order</v>
      </c>
      <c r="M189" t="str" cm="1">
        <f t="array" ref="M189">_xlfn.IFS(K189&gt;=25,"Bulk",K189&gt;=10,"Large",K189&lt;10,"Standard")</f>
        <v>Bulk</v>
      </c>
      <c r="N189" s="2">
        <v>34.44</v>
      </c>
      <c r="O189" s="2">
        <f t="shared" si="19"/>
        <v>2135.2799999999997</v>
      </c>
      <c r="P189" s="3">
        <v>46296</v>
      </c>
      <c r="Q189" s="5"/>
      <c r="R189" s="5" t="str">
        <f t="shared" si="20"/>
        <v>No Discount</v>
      </c>
      <c r="T189" s="4"/>
      <c r="U189" s="7">
        <f>O189*(1-T189)</f>
        <v>2135.2799999999997</v>
      </c>
      <c r="V189" s="4"/>
      <c r="W189">
        <f>COUNTIFS(G2:G201,"Educator",S2:S201,"")</f>
        <v>36</v>
      </c>
    </row>
    <row r="190" spans="1:23" x14ac:dyDescent="0.25">
      <c r="A190">
        <v>100189</v>
      </c>
      <c r="B190" t="s">
        <v>140</v>
      </c>
      <c r="C190" t="str">
        <f t="shared" si="14"/>
        <v>THR</v>
      </c>
      <c r="D190" t="str">
        <f t="shared" si="15"/>
        <v>049</v>
      </c>
      <c r="E190" t="str">
        <f t="shared" si="16"/>
        <v>THR-049</v>
      </c>
      <c r="F190" t="s">
        <v>138</v>
      </c>
      <c r="G190" t="s">
        <v>49</v>
      </c>
      <c r="H190" t="s">
        <v>33</v>
      </c>
      <c r="I190">
        <f t="shared" si="17"/>
        <v>8</v>
      </c>
      <c r="J190" t="s">
        <v>203</v>
      </c>
      <c r="K190">
        <v>17</v>
      </c>
      <c r="L190" t="str">
        <f t="shared" si="18"/>
        <v>Large Order</v>
      </c>
      <c r="M190" t="str" cm="1">
        <f t="array" ref="M190">_xlfn.IFS(K190&gt;=25,"Bulk",K190&gt;=10,"Large",K190&lt;10,"Standard")</f>
        <v>Large</v>
      </c>
      <c r="N190" s="2">
        <v>34.65</v>
      </c>
      <c r="O190" s="2">
        <f t="shared" si="19"/>
        <v>589.04999999999995</v>
      </c>
      <c r="P190" s="3">
        <v>46297</v>
      </c>
      <c r="Q190" s="5"/>
      <c r="R190" s="5" t="str">
        <f t="shared" si="20"/>
        <v>No Discount</v>
      </c>
      <c r="T190" s="4"/>
      <c r="U190" s="7">
        <f>O190*(1-T190)</f>
        <v>589.04999999999995</v>
      </c>
      <c r="V190" s="4"/>
      <c r="W190">
        <f>COUNTIFS(G2:G201,"Educator",S2:S201,"&lt;&gt;")</f>
        <v>8</v>
      </c>
    </row>
    <row r="191" spans="1:23" x14ac:dyDescent="0.25">
      <c r="A191">
        <v>100190</v>
      </c>
      <c r="B191" t="s">
        <v>177</v>
      </c>
      <c r="C191" t="str">
        <f t="shared" si="14"/>
        <v>SLF</v>
      </c>
      <c r="D191" t="str">
        <f t="shared" si="15"/>
        <v>025</v>
      </c>
      <c r="E191" t="str">
        <f t="shared" si="16"/>
        <v>SLF-025</v>
      </c>
      <c r="F191" t="s">
        <v>178</v>
      </c>
      <c r="G191" t="s">
        <v>11</v>
      </c>
      <c r="H191" t="s">
        <v>61</v>
      </c>
      <c r="I191">
        <f t="shared" si="17"/>
        <v>9</v>
      </c>
      <c r="J191" t="s">
        <v>59</v>
      </c>
      <c r="K191">
        <v>3</v>
      </c>
      <c r="L191" t="str">
        <f t="shared" si="18"/>
        <v>Standard Order</v>
      </c>
      <c r="M191" t="str" cm="1">
        <f t="array" ref="M191">_xlfn.IFS(K191&gt;=25,"Bulk",K191&gt;=10,"Large",K191&lt;10,"Standard")</f>
        <v>Standard</v>
      </c>
      <c r="N191" s="2">
        <v>10.36</v>
      </c>
      <c r="O191" s="2">
        <f t="shared" si="19"/>
        <v>31.08</v>
      </c>
      <c r="P191" s="3">
        <v>46297</v>
      </c>
      <c r="Q191" s="5"/>
      <c r="R191" s="5" t="str">
        <f t="shared" si="20"/>
        <v>No Discount</v>
      </c>
      <c r="T191" s="4"/>
      <c r="U191" s="7">
        <f>O191*(1-T191)</f>
        <v>31.08</v>
      </c>
      <c r="V191" s="4"/>
    </row>
    <row r="192" spans="1:23" x14ac:dyDescent="0.25">
      <c r="A192">
        <v>100191</v>
      </c>
      <c r="B192" t="s">
        <v>35</v>
      </c>
      <c r="C192" t="str">
        <f t="shared" si="14"/>
        <v>ROM</v>
      </c>
      <c r="D192" t="str">
        <f t="shared" si="15"/>
        <v>067</v>
      </c>
      <c r="E192" t="str">
        <f t="shared" si="16"/>
        <v>ROM-067</v>
      </c>
      <c r="F192" t="s">
        <v>137</v>
      </c>
      <c r="G192" t="s">
        <v>29</v>
      </c>
      <c r="H192" t="s">
        <v>37</v>
      </c>
      <c r="I192">
        <f t="shared" si="17"/>
        <v>7</v>
      </c>
      <c r="J192" t="s">
        <v>203</v>
      </c>
      <c r="K192">
        <v>1</v>
      </c>
      <c r="L192" t="str">
        <f t="shared" si="18"/>
        <v>Standard Order</v>
      </c>
      <c r="M192" t="str" cm="1">
        <f t="array" ref="M192">_xlfn.IFS(K192&gt;=25,"Bulk",K192&gt;=10,"Large",K192&lt;10,"Standard")</f>
        <v>Standard</v>
      </c>
      <c r="N192" s="2">
        <v>22.87</v>
      </c>
      <c r="O192" s="2">
        <f t="shared" si="19"/>
        <v>22.87</v>
      </c>
      <c r="P192" s="3">
        <v>46298</v>
      </c>
      <c r="Q192" s="5"/>
      <c r="R192" s="5" t="str">
        <f t="shared" si="20"/>
        <v>No Discount</v>
      </c>
      <c r="T192" s="4"/>
      <c r="U192" s="7">
        <f>O192*(1-T192)</f>
        <v>22.87</v>
      </c>
      <c r="V192" s="4"/>
    </row>
    <row r="193" spans="1:23" x14ac:dyDescent="0.25">
      <c r="A193">
        <v>100192</v>
      </c>
      <c r="B193" t="s">
        <v>179</v>
      </c>
      <c r="C193" t="str">
        <f t="shared" si="14"/>
        <v>NFC</v>
      </c>
      <c r="D193" t="str">
        <f t="shared" si="15"/>
        <v>018</v>
      </c>
      <c r="E193" t="str">
        <f t="shared" si="16"/>
        <v>NFC-018</v>
      </c>
      <c r="F193" t="s">
        <v>48</v>
      </c>
      <c r="G193" t="s">
        <v>49</v>
      </c>
      <c r="H193" t="s">
        <v>59</v>
      </c>
      <c r="I193">
        <f t="shared" si="17"/>
        <v>10</v>
      </c>
      <c r="J193" t="s">
        <v>59</v>
      </c>
      <c r="K193">
        <v>16</v>
      </c>
      <c r="L193" t="str">
        <f t="shared" si="18"/>
        <v>Large Order</v>
      </c>
      <c r="M193" t="str" cm="1">
        <f t="array" ref="M193">_xlfn.IFS(K193&gt;=25,"Bulk",K193&gt;=10,"Large",K193&lt;10,"Standard")</f>
        <v>Large</v>
      </c>
      <c r="N193" s="2">
        <v>32.93</v>
      </c>
      <c r="O193" s="2">
        <f t="shared" si="19"/>
        <v>526.88</v>
      </c>
      <c r="P193" s="3">
        <v>46299</v>
      </c>
      <c r="Q193" s="5"/>
      <c r="R193" s="5" t="str">
        <f t="shared" si="20"/>
        <v>No Discount</v>
      </c>
      <c r="T193" s="4"/>
      <c r="U193" s="7">
        <f>O193*(1-T193)</f>
        <v>526.88</v>
      </c>
      <c r="V193" s="4"/>
    </row>
    <row r="194" spans="1:23" x14ac:dyDescent="0.25">
      <c r="A194">
        <v>100193</v>
      </c>
      <c r="B194" t="s">
        <v>60</v>
      </c>
      <c r="C194" t="str">
        <f t="shared" si="14"/>
        <v>SLF</v>
      </c>
      <c r="D194" t="str">
        <f t="shared" si="15"/>
        <v>064</v>
      </c>
      <c r="E194" t="str">
        <f t="shared" si="16"/>
        <v>SLF-064</v>
      </c>
      <c r="F194" t="s">
        <v>120</v>
      </c>
      <c r="G194" t="s">
        <v>42</v>
      </c>
      <c r="H194" t="s">
        <v>61</v>
      </c>
      <c r="I194">
        <f t="shared" si="17"/>
        <v>9</v>
      </c>
      <c r="J194" t="s">
        <v>59</v>
      </c>
      <c r="K194">
        <v>5</v>
      </c>
      <c r="L194" t="str">
        <f t="shared" si="18"/>
        <v>Standard Order</v>
      </c>
      <c r="M194" t="str" cm="1">
        <f t="array" ref="M194">_xlfn.IFS(K194&gt;=25,"Bulk",K194&gt;=10,"Large",K194&lt;10,"Standard")</f>
        <v>Standard</v>
      </c>
      <c r="N194" s="2">
        <v>10.96</v>
      </c>
      <c r="O194" s="2">
        <f t="shared" si="19"/>
        <v>54.800000000000004</v>
      </c>
      <c r="P194" s="3">
        <v>46299</v>
      </c>
      <c r="Q194" s="5"/>
      <c r="R194" s="5" t="str">
        <f t="shared" si="20"/>
        <v>No Discount</v>
      </c>
      <c r="T194" s="4"/>
      <c r="U194" s="7">
        <f>O194*(1-T194)</f>
        <v>54.800000000000004</v>
      </c>
      <c r="V194" s="4"/>
    </row>
    <row r="195" spans="1:23" x14ac:dyDescent="0.25">
      <c r="A195">
        <v>100194</v>
      </c>
      <c r="B195" t="s">
        <v>180</v>
      </c>
      <c r="C195" t="str">
        <f t="shared" ref="C195:C201" si="21">LEFT(B195,3)</f>
        <v>FAN</v>
      </c>
      <c r="D195" t="str">
        <f t="shared" ref="D195:D201" si="22">RIGHT(B195,3)</f>
        <v>029</v>
      </c>
      <c r="E195" t="str">
        <f t="shared" ref="E195:E201" si="23">C195&amp;"-"&amp;D195</f>
        <v>FAN-029</v>
      </c>
      <c r="F195" t="s">
        <v>142</v>
      </c>
      <c r="G195" t="s">
        <v>49</v>
      </c>
      <c r="H195" t="s">
        <v>12</v>
      </c>
      <c r="I195">
        <f t="shared" ref="I195:I201" si="24">LEN(H195)</f>
        <v>7</v>
      </c>
      <c r="J195" t="s">
        <v>203</v>
      </c>
      <c r="K195">
        <v>16</v>
      </c>
      <c r="L195" t="str">
        <f t="shared" ref="L195:L201" si="25">IF(K195&gt;=10,"Large Order","Standard Order")</f>
        <v>Large Order</v>
      </c>
      <c r="M195" t="str" cm="1">
        <f t="array" ref="M195">_xlfn.IFS(K195&gt;=25,"Bulk",K195&gt;=10,"Large",K195&lt;10,"Standard")</f>
        <v>Large</v>
      </c>
      <c r="N195" s="2">
        <v>22.46</v>
      </c>
      <c r="O195" s="2">
        <f t="shared" ref="O195:O201" si="26">K195*N195</f>
        <v>359.36</v>
      </c>
      <c r="P195" s="3">
        <v>46300</v>
      </c>
      <c r="Q195" s="5"/>
      <c r="R195" s="5" t="str">
        <f t="shared" ref="R195:R201" si="27">IF(S195="","No Discount","Discount")</f>
        <v>Discount</v>
      </c>
      <c r="S195" t="s">
        <v>17</v>
      </c>
      <c r="T195" s="4">
        <v>0.2</v>
      </c>
      <c r="U195" s="7">
        <f>O195*(1-T195)</f>
        <v>287.488</v>
      </c>
      <c r="V195" s="4"/>
    </row>
    <row r="196" spans="1:23" x14ac:dyDescent="0.25">
      <c r="A196">
        <v>100195</v>
      </c>
      <c r="B196" t="s">
        <v>13</v>
      </c>
      <c r="C196" t="str">
        <f t="shared" si="21"/>
        <v>HIS</v>
      </c>
      <c r="D196" t="str">
        <f t="shared" si="22"/>
        <v>074</v>
      </c>
      <c r="E196" t="str">
        <f t="shared" si="23"/>
        <v>HIS-074</v>
      </c>
      <c r="F196" t="s">
        <v>181</v>
      </c>
      <c r="G196" t="s">
        <v>42</v>
      </c>
      <c r="H196" t="s">
        <v>16</v>
      </c>
      <c r="I196">
        <f t="shared" si="24"/>
        <v>18</v>
      </c>
      <c r="J196" t="s">
        <v>203</v>
      </c>
      <c r="K196">
        <v>1</v>
      </c>
      <c r="L196" t="str">
        <f t="shared" si="25"/>
        <v>Standard Order</v>
      </c>
      <c r="M196" t="str" cm="1">
        <f t="array" ref="M196">_xlfn.IFS(K196&gt;=25,"Bulk",K196&gt;=10,"Large",K196&lt;10,"Standard")</f>
        <v>Standard</v>
      </c>
      <c r="N196" s="2">
        <v>31.08</v>
      </c>
      <c r="O196" s="2">
        <f t="shared" si="26"/>
        <v>31.08</v>
      </c>
      <c r="P196" s="3">
        <v>46301</v>
      </c>
      <c r="Q196" s="5"/>
      <c r="R196" s="5" t="str">
        <f t="shared" si="27"/>
        <v>Discount</v>
      </c>
      <c r="S196" t="s">
        <v>125</v>
      </c>
      <c r="T196" s="4">
        <v>0.1</v>
      </c>
      <c r="U196" s="7">
        <f>O196*(1-T196)</f>
        <v>27.971999999999998</v>
      </c>
      <c r="V196" s="4"/>
    </row>
    <row r="197" spans="1:23" x14ac:dyDescent="0.25">
      <c r="A197">
        <v>100196</v>
      </c>
      <c r="B197" t="s">
        <v>9</v>
      </c>
      <c r="C197" t="str">
        <f t="shared" si="21"/>
        <v>FAN</v>
      </c>
      <c r="D197" t="str">
        <f t="shared" si="22"/>
        <v>068</v>
      </c>
      <c r="E197" t="str">
        <f t="shared" si="23"/>
        <v>FAN-068</v>
      </c>
      <c r="F197" t="s">
        <v>64</v>
      </c>
      <c r="G197" t="s">
        <v>42</v>
      </c>
      <c r="H197" t="s">
        <v>12</v>
      </c>
      <c r="I197">
        <f t="shared" si="24"/>
        <v>7</v>
      </c>
      <c r="J197" t="s">
        <v>203</v>
      </c>
      <c r="K197">
        <v>3</v>
      </c>
      <c r="L197" t="str">
        <f t="shared" si="25"/>
        <v>Standard Order</v>
      </c>
      <c r="M197" t="str" cm="1">
        <f t="array" ref="M197">_xlfn.IFS(K197&gt;=25,"Bulk",K197&gt;=10,"Large",K197&lt;10,"Standard")</f>
        <v>Standard</v>
      </c>
      <c r="N197" s="2">
        <v>17.36</v>
      </c>
      <c r="O197" s="2">
        <f t="shared" si="26"/>
        <v>52.08</v>
      </c>
      <c r="P197" s="3">
        <v>46301</v>
      </c>
      <c r="Q197" s="5"/>
      <c r="R197" s="5" t="str">
        <f t="shared" si="27"/>
        <v>No Discount</v>
      </c>
      <c r="T197" s="4"/>
      <c r="U197" s="7">
        <f>O197*(1-T197)</f>
        <v>52.08</v>
      </c>
      <c r="V197" s="4"/>
    </row>
    <row r="198" spans="1:23" x14ac:dyDescent="0.25">
      <c r="A198">
        <v>100197</v>
      </c>
      <c r="B198" t="s">
        <v>130</v>
      </c>
      <c r="C198" t="str">
        <f t="shared" si="21"/>
        <v>YAD</v>
      </c>
      <c r="D198" t="str">
        <f t="shared" si="22"/>
        <v>050</v>
      </c>
      <c r="E198" t="str">
        <f t="shared" si="23"/>
        <v>YAD-050</v>
      </c>
      <c r="F198" t="s">
        <v>157</v>
      </c>
      <c r="G198" t="s">
        <v>29</v>
      </c>
      <c r="H198" t="s">
        <v>55</v>
      </c>
      <c r="I198">
        <f t="shared" si="24"/>
        <v>11</v>
      </c>
      <c r="J198" t="s">
        <v>203</v>
      </c>
      <c r="K198">
        <v>11</v>
      </c>
      <c r="L198" t="str">
        <f t="shared" si="25"/>
        <v>Large Order</v>
      </c>
      <c r="M198" t="str" cm="1">
        <f t="array" ref="M198">_xlfn.IFS(K198&gt;=25,"Bulk",K198&gt;=10,"Large",K198&lt;10,"Standard")</f>
        <v>Large</v>
      </c>
      <c r="N198" s="2">
        <v>13.1</v>
      </c>
      <c r="O198" s="2">
        <f t="shared" si="26"/>
        <v>144.1</v>
      </c>
      <c r="P198" s="3">
        <v>46302</v>
      </c>
      <c r="Q198" s="5"/>
      <c r="R198" s="5" t="str">
        <f t="shared" si="27"/>
        <v>No Discount</v>
      </c>
      <c r="T198" s="4"/>
      <c r="U198" s="7">
        <f>O198*(1-T198)</f>
        <v>144.1</v>
      </c>
      <c r="V198" s="4"/>
    </row>
    <row r="199" spans="1:23" x14ac:dyDescent="0.25">
      <c r="A199">
        <v>100198</v>
      </c>
      <c r="B199" t="s">
        <v>117</v>
      </c>
      <c r="C199" t="str">
        <f t="shared" si="21"/>
        <v>ROM</v>
      </c>
      <c r="D199" t="str">
        <f t="shared" si="22"/>
        <v>054</v>
      </c>
      <c r="E199" t="str">
        <f t="shared" si="23"/>
        <v>ROM-054</v>
      </c>
      <c r="F199" t="s">
        <v>113</v>
      </c>
      <c r="G199" t="s">
        <v>42</v>
      </c>
      <c r="H199" t="s">
        <v>37</v>
      </c>
      <c r="I199">
        <f t="shared" si="24"/>
        <v>7</v>
      </c>
      <c r="J199" t="s">
        <v>203</v>
      </c>
      <c r="K199">
        <v>1</v>
      </c>
      <c r="L199" t="str">
        <f t="shared" si="25"/>
        <v>Standard Order</v>
      </c>
      <c r="M199" t="str" cm="1">
        <f t="array" ref="M199">_xlfn.IFS(K199&gt;=25,"Bulk",K199&gt;=10,"Large",K199&lt;10,"Standard")</f>
        <v>Standard</v>
      </c>
      <c r="N199" s="2">
        <v>31.68</v>
      </c>
      <c r="O199" s="2">
        <f t="shared" si="26"/>
        <v>31.68</v>
      </c>
      <c r="P199" s="3">
        <v>46303</v>
      </c>
      <c r="Q199" s="5"/>
      <c r="R199" s="5" t="str">
        <f t="shared" si="27"/>
        <v>Discount</v>
      </c>
      <c r="S199" t="s">
        <v>125</v>
      </c>
      <c r="T199" s="4">
        <v>0.1</v>
      </c>
      <c r="U199" s="7">
        <f>O199*(1-T199)</f>
        <v>28.512</v>
      </c>
      <c r="V199" s="4"/>
    </row>
    <row r="200" spans="1:23" x14ac:dyDescent="0.25">
      <c r="A200">
        <v>100199</v>
      </c>
      <c r="B200" t="s">
        <v>182</v>
      </c>
      <c r="C200" t="str">
        <f t="shared" si="21"/>
        <v>BIO</v>
      </c>
      <c r="D200" t="str">
        <f t="shared" si="22"/>
        <v>019</v>
      </c>
      <c r="E200" t="str">
        <f t="shared" si="23"/>
        <v>BIO-019</v>
      </c>
      <c r="F200" t="s">
        <v>32</v>
      </c>
      <c r="G200" t="s">
        <v>15</v>
      </c>
      <c r="H200" t="s">
        <v>52</v>
      </c>
      <c r="I200">
        <f t="shared" si="24"/>
        <v>9</v>
      </c>
      <c r="J200" t="s">
        <v>59</v>
      </c>
      <c r="K200">
        <v>9</v>
      </c>
      <c r="L200" t="str">
        <f t="shared" si="25"/>
        <v>Standard Order</v>
      </c>
      <c r="M200" t="str" cm="1">
        <f t="array" ref="M200">_xlfn.IFS(K200&gt;=25,"Bulk",K200&gt;=10,"Large",K200&lt;10,"Standard")</f>
        <v>Standard</v>
      </c>
      <c r="N200" s="2">
        <v>19.18</v>
      </c>
      <c r="O200" s="2">
        <f t="shared" si="26"/>
        <v>172.62</v>
      </c>
      <c r="P200" s="3">
        <v>46303</v>
      </c>
      <c r="Q200" s="5"/>
      <c r="R200" s="5" t="str">
        <f t="shared" si="27"/>
        <v>No Discount</v>
      </c>
      <c r="T200" s="4"/>
      <c r="U200" s="7">
        <f>O200*(1-T200)</f>
        <v>172.62</v>
      </c>
      <c r="V200" s="4"/>
    </row>
    <row r="201" spans="1:23" x14ac:dyDescent="0.25">
      <c r="A201">
        <v>100200</v>
      </c>
      <c r="B201" t="s">
        <v>75</v>
      </c>
      <c r="C201" t="str">
        <f t="shared" si="21"/>
        <v>SCI</v>
      </c>
      <c r="D201" t="str">
        <f t="shared" si="22"/>
        <v>056</v>
      </c>
      <c r="E201" t="str">
        <f t="shared" si="23"/>
        <v>SCI-056</v>
      </c>
      <c r="F201" t="s">
        <v>167</v>
      </c>
      <c r="G201" t="s">
        <v>15</v>
      </c>
      <c r="H201" t="s">
        <v>23</v>
      </c>
      <c r="I201">
        <f t="shared" si="24"/>
        <v>15</v>
      </c>
      <c r="J201" t="s">
        <v>203</v>
      </c>
      <c r="K201">
        <v>11</v>
      </c>
      <c r="L201" t="str">
        <f t="shared" si="25"/>
        <v>Large Order</v>
      </c>
      <c r="M201" t="str" cm="1">
        <f t="array" ref="M201">_xlfn.IFS(K201&gt;=25,"Bulk",K201&gt;=10,"Large",K201&lt;10,"Standard")</f>
        <v>Large</v>
      </c>
      <c r="N201" s="2">
        <v>16.27</v>
      </c>
      <c r="O201" s="2">
        <f t="shared" si="26"/>
        <v>178.97</v>
      </c>
      <c r="P201" s="3">
        <v>46304</v>
      </c>
      <c r="Q201" s="5"/>
      <c r="R201" s="5" t="str">
        <f t="shared" si="27"/>
        <v>No Discount</v>
      </c>
      <c r="T201" s="4"/>
      <c r="U201" s="7">
        <f>O201*(1-T201)</f>
        <v>178.97</v>
      </c>
      <c r="V201" s="4"/>
    </row>
    <row r="202" spans="1:23" x14ac:dyDescent="0.25">
      <c r="W202" t="s">
        <v>186</v>
      </c>
    </row>
    <row r="203" spans="1:23" x14ac:dyDescent="0.25">
      <c r="H203">
        <f>COUNTIF(H2:H201,"Fantasy")</f>
        <v>15</v>
      </c>
      <c r="K203">
        <f>COUNTIF(K2:K201,"&gt;=10")</f>
        <v>52</v>
      </c>
      <c r="N203">
        <f>COUNTIF(N2:N201,"&lt;10")</f>
        <v>9</v>
      </c>
      <c r="S203">
        <f>COUNTA(S2:S201)</f>
        <v>44</v>
      </c>
      <c r="T203">
        <f>COUNT(T2:T201)</f>
        <v>44</v>
      </c>
      <c r="W203" t="s">
        <v>187</v>
      </c>
    </row>
    <row r="204" spans="1:23" x14ac:dyDescent="0.25">
      <c r="H204">
        <f>COUNTIF(H2:H201,"Nonfiction")</f>
        <v>14</v>
      </c>
      <c r="S204">
        <f>COUNTBLANK(S2:S201)</f>
        <v>156</v>
      </c>
      <c r="W204" t="s">
        <v>188</v>
      </c>
    </row>
    <row r="205" spans="1:23" x14ac:dyDescent="0.25">
      <c r="W205" t="s">
        <v>189</v>
      </c>
    </row>
    <row r="206" spans="1:23" x14ac:dyDescent="0.25">
      <c r="W206" t="s">
        <v>190</v>
      </c>
    </row>
    <row r="211" spans="11:21" x14ac:dyDescent="0.25">
      <c r="K211">
        <f>SUM(K2:K201)</f>
        <v>1382</v>
      </c>
      <c r="O211" s="2">
        <f>SUM(O2:O201)</f>
        <v>30808.670000000009</v>
      </c>
      <c r="U211" s="8">
        <f>SUM(U2:U201)</f>
        <v>30041.863250000013</v>
      </c>
    </row>
    <row r="212" spans="11:21" x14ac:dyDescent="0.25">
      <c r="K212">
        <f>AVERAGE(K2:K201)</f>
        <v>6.91</v>
      </c>
      <c r="N212" s="9">
        <f>AVERAGE(N2:N201)</f>
        <v>22.348450000000003</v>
      </c>
      <c r="O212" s="9">
        <f>AVERAGE(O2:O201)</f>
        <v>154.04335000000003</v>
      </c>
      <c r="U212" s="9">
        <f>AVERAGE(U2:U201)</f>
        <v>150.20931625000006</v>
      </c>
    </row>
  </sheetData>
  <autoFilter ref="A1:W206" xr:uid="{00000000-0001-0000-0000-000000000000}"/>
  <dataValidations count="1">
    <dataValidation type="whole" allowBlank="1" showInputMessage="1" showErrorMessage="1" sqref="M1:M1048576" xr:uid="{D41495F7-7ED1-4A20-BEA9-D30B9DAD5964}">
      <formula1>0</formula1>
      <formula2>10</formula2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PivotTable</vt:lpstr>
      <vt:lpstr>BookstoreOrders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Keiko Bridwell</dc:creator>
  <cp:keywords/>
  <dc:description/>
  <cp:lastModifiedBy>Keiko Bridwell</cp:lastModifiedBy>
  <cp:revision/>
  <dcterms:created xsi:type="dcterms:W3CDTF">2026-10-01T18:50:30Z</dcterms:created>
  <dcterms:modified xsi:type="dcterms:W3CDTF">2026-10-09T16:10:59Z</dcterms:modified>
  <cp:category/>
  <cp:contentStatus/>
</cp:coreProperties>
</file>